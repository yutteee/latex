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teee/univ/latex/化学生命工学実験4/無機物理化学実験/6/"/>
    </mc:Choice>
  </mc:AlternateContent>
  <xr:revisionPtr revIDLastSave="0" documentId="13_ncr:1_{EC13058F-504C-AC4C-BFC9-E1295C623984}" xr6:coauthVersionLast="47" xr6:coauthVersionMax="47" xr10:uidLastSave="{00000000-0000-0000-0000-000000000000}"/>
  <bookViews>
    <workbookView xWindow="0" yWindow="1000" windowWidth="34560" windowHeight="21580" activeTab="2" xr2:uid="{3985D130-0D9C-44F3-9740-4D68410E494D}"/>
  </bookViews>
  <sheets>
    <sheet name="J-V特性（エオシンY）" sheetId="1" r:id="rId1"/>
    <sheet name="J-V特性（メチレンブルー）" sheetId="2" r:id="rId2"/>
    <sheet name="J-V特性（色素なし）" sheetId="3" r:id="rId3"/>
    <sheet name="光電流（エオシン" sheetId="4" r:id="rId4"/>
    <sheet name="光電流（メチレンブルー）" sheetId="5" r:id="rId5"/>
    <sheet name="光電流（色素なし）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F10" i="2"/>
  <c r="S14" i="3" l="1"/>
  <c r="S11" i="3"/>
  <c r="S10" i="3"/>
  <c r="S13" i="2"/>
  <c r="S10" i="2"/>
  <c r="S9" i="2"/>
  <c r="R13" i="1"/>
  <c r="K28" i="6"/>
  <c r="J28" i="6"/>
  <c r="G28" i="6"/>
  <c r="H28" i="6" s="1"/>
  <c r="I28" i="6" s="1"/>
  <c r="L28" i="6" s="1"/>
  <c r="K27" i="6"/>
  <c r="J27" i="6"/>
  <c r="G27" i="6"/>
  <c r="H27" i="6" s="1"/>
  <c r="I27" i="6" s="1"/>
  <c r="L27" i="6" s="1"/>
  <c r="K26" i="6"/>
  <c r="J26" i="6"/>
  <c r="G26" i="6"/>
  <c r="H26" i="6" s="1"/>
  <c r="I26" i="6" s="1"/>
  <c r="K25" i="6"/>
  <c r="J25" i="6"/>
  <c r="G25" i="6"/>
  <c r="H25" i="6" s="1"/>
  <c r="I25" i="6" s="1"/>
  <c r="L25" i="6" s="1"/>
  <c r="K24" i="6"/>
  <c r="J24" i="6"/>
  <c r="G24" i="6"/>
  <c r="H24" i="6" s="1"/>
  <c r="I24" i="6" s="1"/>
  <c r="L24" i="6" s="1"/>
  <c r="K23" i="6"/>
  <c r="J23" i="6"/>
  <c r="G23" i="6"/>
  <c r="H23" i="6" s="1"/>
  <c r="I23" i="6" s="1"/>
  <c r="L23" i="6" s="1"/>
  <c r="K22" i="6"/>
  <c r="J22" i="6"/>
  <c r="G22" i="6"/>
  <c r="H22" i="6" s="1"/>
  <c r="I22" i="6" s="1"/>
  <c r="K21" i="6"/>
  <c r="J21" i="6"/>
  <c r="G21" i="6"/>
  <c r="H21" i="6" s="1"/>
  <c r="I21" i="6" s="1"/>
  <c r="L21" i="6" s="1"/>
  <c r="K20" i="6"/>
  <c r="J20" i="6"/>
  <c r="G20" i="6"/>
  <c r="H20" i="6" s="1"/>
  <c r="I20" i="6" s="1"/>
  <c r="L20" i="6" s="1"/>
  <c r="K19" i="6"/>
  <c r="J19" i="6"/>
  <c r="G19" i="6"/>
  <c r="H19" i="6" s="1"/>
  <c r="I19" i="6" s="1"/>
  <c r="L19" i="6" s="1"/>
  <c r="K18" i="6"/>
  <c r="J18" i="6"/>
  <c r="G18" i="6"/>
  <c r="H18" i="6" s="1"/>
  <c r="I18" i="6" s="1"/>
  <c r="K17" i="6"/>
  <c r="J17" i="6"/>
  <c r="H17" i="6"/>
  <c r="I17" i="6" s="1"/>
  <c r="L17" i="6" s="1"/>
  <c r="G17" i="6"/>
  <c r="K16" i="6"/>
  <c r="J16" i="6"/>
  <c r="G16" i="6"/>
  <c r="H16" i="6" s="1"/>
  <c r="I16" i="6" s="1"/>
  <c r="L16" i="6" s="1"/>
  <c r="K15" i="6"/>
  <c r="J15" i="6"/>
  <c r="G15" i="6"/>
  <c r="H15" i="6" s="1"/>
  <c r="I15" i="6" s="1"/>
  <c r="L15" i="6" s="1"/>
  <c r="K14" i="6"/>
  <c r="J14" i="6"/>
  <c r="G14" i="6"/>
  <c r="H14" i="6" s="1"/>
  <c r="I14" i="6" s="1"/>
  <c r="K13" i="6"/>
  <c r="J13" i="6"/>
  <c r="G13" i="6"/>
  <c r="H13" i="6" s="1"/>
  <c r="I13" i="6" s="1"/>
  <c r="L13" i="6" s="1"/>
  <c r="K12" i="6"/>
  <c r="J12" i="6"/>
  <c r="G12" i="6"/>
  <c r="H12" i="6" s="1"/>
  <c r="I12" i="6" s="1"/>
  <c r="L12" i="6" s="1"/>
  <c r="K11" i="6"/>
  <c r="J11" i="6"/>
  <c r="G11" i="6"/>
  <c r="H11" i="6" s="1"/>
  <c r="I11" i="6" s="1"/>
  <c r="L11" i="6" s="1"/>
  <c r="K10" i="6"/>
  <c r="J10" i="6"/>
  <c r="G10" i="6"/>
  <c r="H10" i="6" s="1"/>
  <c r="I10" i="6" s="1"/>
  <c r="K9" i="6"/>
  <c r="J9" i="6"/>
  <c r="H9" i="6"/>
  <c r="I9" i="6" s="1"/>
  <c r="L9" i="6" s="1"/>
  <c r="G9" i="6"/>
  <c r="K8" i="6"/>
  <c r="J8" i="6"/>
  <c r="H8" i="6"/>
  <c r="I8" i="6" s="1"/>
  <c r="L8" i="6" s="1"/>
  <c r="G8" i="6"/>
  <c r="O4" i="6"/>
  <c r="K28" i="5"/>
  <c r="L28" i="5" s="1"/>
  <c r="H28" i="5"/>
  <c r="I28" i="5" s="1"/>
  <c r="J28" i="5" s="1"/>
  <c r="M28" i="5" s="1"/>
  <c r="L27" i="5"/>
  <c r="K27" i="5"/>
  <c r="H27" i="5"/>
  <c r="I27" i="5" s="1"/>
  <c r="J27" i="5" s="1"/>
  <c r="M27" i="5" s="1"/>
  <c r="K26" i="5"/>
  <c r="L26" i="5" s="1"/>
  <c r="H26" i="5"/>
  <c r="I26" i="5" s="1"/>
  <c r="J26" i="5" s="1"/>
  <c r="M26" i="5" s="1"/>
  <c r="K25" i="5"/>
  <c r="L25" i="5" s="1"/>
  <c r="H25" i="5"/>
  <c r="I25" i="5" s="1"/>
  <c r="J25" i="5" s="1"/>
  <c r="K24" i="5"/>
  <c r="L24" i="5" s="1"/>
  <c r="H24" i="5"/>
  <c r="I24" i="5" s="1"/>
  <c r="J24" i="5" s="1"/>
  <c r="M24" i="5" s="1"/>
  <c r="L23" i="5"/>
  <c r="K23" i="5"/>
  <c r="H23" i="5"/>
  <c r="I23" i="5" s="1"/>
  <c r="J23" i="5" s="1"/>
  <c r="M23" i="5" s="1"/>
  <c r="K22" i="5"/>
  <c r="L22" i="5" s="1"/>
  <c r="H22" i="5"/>
  <c r="I22" i="5" s="1"/>
  <c r="J22" i="5" s="1"/>
  <c r="M22" i="5" s="1"/>
  <c r="K21" i="5"/>
  <c r="L21" i="5" s="1"/>
  <c r="H21" i="5"/>
  <c r="I21" i="5" s="1"/>
  <c r="J21" i="5" s="1"/>
  <c r="K20" i="5"/>
  <c r="L20" i="5" s="1"/>
  <c r="H20" i="5"/>
  <c r="I20" i="5" s="1"/>
  <c r="J20" i="5" s="1"/>
  <c r="M20" i="5" s="1"/>
  <c r="L19" i="5"/>
  <c r="K19" i="5"/>
  <c r="H19" i="5"/>
  <c r="I19" i="5" s="1"/>
  <c r="J19" i="5" s="1"/>
  <c r="M19" i="5" s="1"/>
  <c r="K18" i="5"/>
  <c r="L18" i="5" s="1"/>
  <c r="H18" i="5"/>
  <c r="I18" i="5" s="1"/>
  <c r="J18" i="5" s="1"/>
  <c r="K17" i="5"/>
  <c r="L17" i="5" s="1"/>
  <c r="H17" i="5"/>
  <c r="I17" i="5" s="1"/>
  <c r="J17" i="5" s="1"/>
  <c r="M17" i="5" s="1"/>
  <c r="K16" i="5"/>
  <c r="L16" i="5" s="1"/>
  <c r="H16" i="5"/>
  <c r="I16" i="5" s="1"/>
  <c r="J16" i="5" s="1"/>
  <c r="M16" i="5" s="1"/>
  <c r="L15" i="5"/>
  <c r="K15" i="5"/>
  <c r="H15" i="5"/>
  <c r="I15" i="5" s="1"/>
  <c r="J15" i="5" s="1"/>
  <c r="M15" i="5" s="1"/>
  <c r="K14" i="5"/>
  <c r="L14" i="5" s="1"/>
  <c r="H14" i="5"/>
  <c r="I14" i="5" s="1"/>
  <c r="J14" i="5" s="1"/>
  <c r="K13" i="5"/>
  <c r="L13" i="5" s="1"/>
  <c r="H13" i="5"/>
  <c r="I13" i="5" s="1"/>
  <c r="J13" i="5" s="1"/>
  <c r="M13" i="5" s="1"/>
  <c r="K12" i="5"/>
  <c r="L12" i="5" s="1"/>
  <c r="H12" i="5"/>
  <c r="I12" i="5" s="1"/>
  <c r="J12" i="5" s="1"/>
  <c r="M12" i="5" s="1"/>
  <c r="L11" i="5"/>
  <c r="K11" i="5"/>
  <c r="H11" i="5"/>
  <c r="I11" i="5" s="1"/>
  <c r="J11" i="5" s="1"/>
  <c r="M11" i="5" s="1"/>
  <c r="K10" i="5"/>
  <c r="L10" i="5" s="1"/>
  <c r="H10" i="5"/>
  <c r="I10" i="5" s="1"/>
  <c r="J10" i="5" s="1"/>
  <c r="M10" i="5" s="1"/>
  <c r="K9" i="5"/>
  <c r="L9" i="5" s="1"/>
  <c r="H9" i="5"/>
  <c r="I9" i="5" s="1"/>
  <c r="J9" i="5" s="1"/>
  <c r="M9" i="5" s="1"/>
  <c r="K8" i="5"/>
  <c r="L8" i="5" s="1"/>
  <c r="H8" i="5"/>
  <c r="I8" i="5" s="1"/>
  <c r="J8" i="5" s="1"/>
  <c r="M8" i="5" s="1"/>
  <c r="P4" i="5"/>
  <c r="G10" i="4"/>
  <c r="H10" i="4" s="1"/>
  <c r="I10" i="4" s="1"/>
  <c r="L10" i="4" s="1"/>
  <c r="J28" i="4"/>
  <c r="K28" i="4" s="1"/>
  <c r="G28" i="4"/>
  <c r="H28" i="4" s="1"/>
  <c r="I28" i="4" s="1"/>
  <c r="L28" i="4" s="1"/>
  <c r="K27" i="4"/>
  <c r="J27" i="4"/>
  <c r="G27" i="4"/>
  <c r="H27" i="4" s="1"/>
  <c r="I27" i="4" s="1"/>
  <c r="L27" i="4" s="1"/>
  <c r="J26" i="4"/>
  <c r="K26" i="4" s="1"/>
  <c r="G26" i="4"/>
  <c r="H26" i="4" s="1"/>
  <c r="I26" i="4" s="1"/>
  <c r="L26" i="4" s="1"/>
  <c r="J25" i="4"/>
  <c r="K25" i="4" s="1"/>
  <c r="G25" i="4"/>
  <c r="H25" i="4" s="1"/>
  <c r="I25" i="4" s="1"/>
  <c r="J24" i="4"/>
  <c r="K24" i="4" s="1"/>
  <c r="G24" i="4"/>
  <c r="H24" i="4" s="1"/>
  <c r="I24" i="4" s="1"/>
  <c r="L24" i="4" s="1"/>
  <c r="K23" i="4"/>
  <c r="J23" i="4"/>
  <c r="G23" i="4"/>
  <c r="H23" i="4" s="1"/>
  <c r="I23" i="4" s="1"/>
  <c r="L23" i="4" s="1"/>
  <c r="J22" i="4"/>
  <c r="K22" i="4" s="1"/>
  <c r="G22" i="4"/>
  <c r="H22" i="4" s="1"/>
  <c r="I22" i="4" s="1"/>
  <c r="J21" i="4"/>
  <c r="K21" i="4" s="1"/>
  <c r="G21" i="4"/>
  <c r="H21" i="4" s="1"/>
  <c r="I21" i="4" s="1"/>
  <c r="L21" i="4" s="1"/>
  <c r="J20" i="4"/>
  <c r="K20" i="4" s="1"/>
  <c r="G20" i="4"/>
  <c r="H20" i="4" s="1"/>
  <c r="I20" i="4" s="1"/>
  <c r="L20" i="4" s="1"/>
  <c r="K19" i="4"/>
  <c r="J19" i="4"/>
  <c r="G19" i="4"/>
  <c r="H19" i="4" s="1"/>
  <c r="I19" i="4" s="1"/>
  <c r="L19" i="4" s="1"/>
  <c r="J18" i="4"/>
  <c r="K18" i="4" s="1"/>
  <c r="G18" i="4"/>
  <c r="H18" i="4" s="1"/>
  <c r="I18" i="4" s="1"/>
  <c r="L18" i="4" s="1"/>
  <c r="J17" i="4"/>
  <c r="K17" i="4" s="1"/>
  <c r="G17" i="4"/>
  <c r="H17" i="4" s="1"/>
  <c r="I17" i="4" s="1"/>
  <c r="J16" i="4"/>
  <c r="K16" i="4" s="1"/>
  <c r="G16" i="4"/>
  <c r="H16" i="4" s="1"/>
  <c r="I16" i="4" s="1"/>
  <c r="L16" i="4" s="1"/>
  <c r="K15" i="4"/>
  <c r="J15" i="4"/>
  <c r="G15" i="4"/>
  <c r="H15" i="4" s="1"/>
  <c r="I15" i="4" s="1"/>
  <c r="L15" i="4" s="1"/>
  <c r="J14" i="4"/>
  <c r="K14" i="4" s="1"/>
  <c r="G14" i="4"/>
  <c r="H14" i="4" s="1"/>
  <c r="I14" i="4" s="1"/>
  <c r="J13" i="4"/>
  <c r="K13" i="4" s="1"/>
  <c r="G13" i="4"/>
  <c r="H13" i="4" s="1"/>
  <c r="I13" i="4" s="1"/>
  <c r="L13" i="4" s="1"/>
  <c r="J12" i="4"/>
  <c r="K12" i="4" s="1"/>
  <c r="G12" i="4"/>
  <c r="H12" i="4" s="1"/>
  <c r="I12" i="4" s="1"/>
  <c r="L12" i="4" s="1"/>
  <c r="K11" i="4"/>
  <c r="J11" i="4"/>
  <c r="G11" i="4"/>
  <c r="H11" i="4" s="1"/>
  <c r="I11" i="4" s="1"/>
  <c r="L11" i="4" s="1"/>
  <c r="J10" i="4"/>
  <c r="K10" i="4" s="1"/>
  <c r="J9" i="4"/>
  <c r="K9" i="4" s="1"/>
  <c r="G9" i="4"/>
  <c r="H9" i="4" s="1"/>
  <c r="I9" i="4" s="1"/>
  <c r="J8" i="4"/>
  <c r="K8" i="4" s="1"/>
  <c r="G8" i="4"/>
  <c r="H8" i="4" s="1"/>
  <c r="I8" i="4" s="1"/>
  <c r="L8" i="4" s="1"/>
  <c r="O4" i="4"/>
  <c r="R10" i="1"/>
  <c r="H10" i="2"/>
  <c r="G10" i="2"/>
  <c r="H8" i="2"/>
  <c r="G8" i="2"/>
  <c r="F8" i="2"/>
  <c r="H9" i="3"/>
  <c r="G9" i="3"/>
  <c r="F9" i="3"/>
  <c r="H12" i="3"/>
  <c r="G12" i="3"/>
  <c r="F12" i="3"/>
  <c r="H11" i="3"/>
  <c r="G11" i="3"/>
  <c r="F11" i="3"/>
  <c r="H10" i="3"/>
  <c r="G10" i="3"/>
  <c r="F10" i="3"/>
  <c r="H8" i="3"/>
  <c r="G8" i="3"/>
  <c r="F8" i="3"/>
  <c r="H9" i="2"/>
  <c r="H11" i="2"/>
  <c r="H12" i="2"/>
  <c r="H13" i="2"/>
  <c r="H14" i="2"/>
  <c r="H15" i="2"/>
  <c r="H16" i="2"/>
  <c r="G9" i="2"/>
  <c r="G11" i="2"/>
  <c r="G12" i="2"/>
  <c r="G13" i="2"/>
  <c r="G14" i="2"/>
  <c r="G15" i="2"/>
  <c r="G16" i="2"/>
  <c r="F9" i="2"/>
  <c r="F11" i="2"/>
  <c r="F12" i="2"/>
  <c r="F13" i="2"/>
  <c r="F14" i="2"/>
  <c r="F15" i="2"/>
  <c r="F16" i="2"/>
  <c r="H7" i="2"/>
  <c r="G7" i="2"/>
  <c r="F7" i="2"/>
  <c r="F13" i="1"/>
  <c r="G13" i="1"/>
  <c r="E13" i="1"/>
  <c r="G14" i="1"/>
  <c r="F14" i="1"/>
  <c r="E14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L26" i="6" l="1"/>
  <c r="L22" i="6"/>
  <c r="L18" i="6"/>
  <c r="L14" i="6"/>
  <c r="L10" i="6"/>
  <c r="M14" i="5"/>
  <c r="M21" i="5"/>
  <c r="M18" i="5"/>
  <c r="M25" i="5"/>
  <c r="L9" i="4"/>
  <c r="L14" i="4"/>
  <c r="L17" i="4"/>
  <c r="L22" i="4"/>
  <c r="L25" i="4"/>
  <c r="S12" i="3"/>
  <c r="S15" i="3" s="1"/>
  <c r="S17" i="3" s="1"/>
  <c r="S11" i="2"/>
  <c r="S14" i="2" s="1"/>
  <c r="S16" i="2" s="1"/>
  <c r="R11" i="1"/>
  <c r="R14" i="1" s="1"/>
  <c r="R16" i="1" s="1"/>
</calcChain>
</file>

<file path=xl/sharedStrings.xml><?xml version="1.0" encoding="utf-8"?>
<sst xmlns="http://schemas.openxmlformats.org/spreadsheetml/2006/main" count="132" uniqueCount="39">
  <si>
    <t>J-V特性</t>
    <rPh sb="3" eb="5">
      <t>トクセイ</t>
    </rPh>
    <phoneticPr fontId="1"/>
  </si>
  <si>
    <t>メチオンY</t>
    <phoneticPr fontId="1"/>
  </si>
  <si>
    <t>電位差 （電圧）[mV]</t>
  </si>
  <si>
    <t>電流 [mA]</t>
  </si>
  <si>
    <t>電流密度 [mA cm-2 ]</t>
    <phoneticPr fontId="1"/>
  </si>
  <si>
    <t>|V|</t>
    <phoneticPr fontId="1"/>
  </si>
  <si>
    <t>mV</t>
    <phoneticPr fontId="1"/>
  </si>
  <si>
    <t>mA</t>
    <phoneticPr fontId="1"/>
  </si>
  <si>
    <t>mA cm^-2</t>
    <phoneticPr fontId="1"/>
  </si>
  <si>
    <t>V</t>
    <phoneticPr fontId="1"/>
  </si>
  <si>
    <t>暗時</t>
  </si>
  <si>
    <t>光照射時</t>
    <phoneticPr fontId="1"/>
  </si>
  <si>
    <t>Vmax</t>
    <phoneticPr fontId="1"/>
  </si>
  <si>
    <t>Jmax</t>
    <phoneticPr fontId="1"/>
  </si>
  <si>
    <t>J*V</t>
    <phoneticPr fontId="1"/>
  </si>
  <si>
    <t>Jsc[mA cm-2]</t>
    <phoneticPr fontId="1"/>
  </si>
  <si>
    <t>Voc[mV]</t>
    <phoneticPr fontId="1"/>
  </si>
  <si>
    <t>FF</t>
    <phoneticPr fontId="1"/>
  </si>
  <si>
    <t>Winc</t>
    <phoneticPr fontId="1"/>
  </si>
  <si>
    <t>η</t>
    <phoneticPr fontId="1"/>
  </si>
  <si>
    <t>エオシンY</t>
    <phoneticPr fontId="1"/>
  </si>
  <si>
    <t>光電流作用スペクトル</t>
  </si>
  <si>
    <t>電気素量e</t>
    <rPh sb="0" eb="4">
      <t>デンキソリョウ</t>
    </rPh>
    <phoneticPr fontId="1"/>
  </si>
  <si>
    <t>メオシンY</t>
    <phoneticPr fontId="1"/>
  </si>
  <si>
    <t>C(A*s)</t>
    <phoneticPr fontId="1"/>
  </si>
  <si>
    <t>波長 [nm]</t>
  </si>
  <si>
    <t>光強度</t>
    <rPh sb="0" eb="3">
      <t>ヒカリキョウド</t>
    </rPh>
    <phoneticPr fontId="1"/>
  </si>
  <si>
    <t>光照射時</t>
  </si>
  <si>
    <t>差</t>
    <rPh sb="0" eb="1">
      <t>サ</t>
    </rPh>
    <phoneticPr fontId="1"/>
  </si>
  <si>
    <t>電流密度</t>
    <rPh sb="0" eb="2">
      <t>デンリュウ</t>
    </rPh>
    <rPh sb="2" eb="4">
      <t>ミツド</t>
    </rPh>
    <phoneticPr fontId="1"/>
  </si>
  <si>
    <t>単位時間あたり回路 を流れた光電子数密度 [個 cm-2 sec-1 ]</t>
    <phoneticPr fontId="1"/>
  </si>
  <si>
    <t>光子一個分のエネルギー</t>
    <rPh sb="0" eb="2">
      <t>コウシ</t>
    </rPh>
    <rPh sb="2" eb="5">
      <t>イッコブン</t>
    </rPh>
    <phoneticPr fontId="1"/>
  </si>
  <si>
    <t>単位時間あたり入 射した光子数密度 [個 cm-2 sec-1 ]</t>
    <phoneticPr fontId="1"/>
  </si>
  <si>
    <t>IPCE [%]</t>
  </si>
  <si>
    <t>nm</t>
    <phoneticPr fontId="1"/>
  </si>
  <si>
    <t>mW cm-2</t>
  </si>
  <si>
    <t>個 cm-2 sec-1</t>
  </si>
  <si>
    <t>J(W*s)</t>
    <phoneticPr fontId="1"/>
  </si>
  <si>
    <t>メチレンブルー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</si>
</sst>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23490401616271"/>
          <c:y val="9.9608536101398457E-2"/>
          <c:w val="0.81435414253008931"/>
          <c:h val="0.7526387987163891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>
                    <a:alpha val="94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0417568081291979E-2"/>
                  <c:y val="-0.52564831614996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venir Book" panose="02000503020000020003" pitchFamily="2" charset="0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'J-V特性（エオシンY）'!$G$7:$G$14</c:f>
              <c:numCache>
                <c:formatCode>General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0.27500000000000002</c:v>
                </c:pt>
                <c:pt idx="7">
                  <c:v>0.3</c:v>
                </c:pt>
              </c:numCache>
            </c:numRef>
          </c:xVal>
          <c:yVal>
            <c:numRef>
              <c:f>'J-V特性（エオシンY）'!$F$7:$F$14</c:f>
              <c:numCache>
                <c:formatCode>General</c:formatCode>
                <c:ptCount val="8"/>
                <c:pt idx="0">
                  <c:v>0.6</c:v>
                </c:pt>
                <c:pt idx="1">
                  <c:v>0.42249999999999999</c:v>
                </c:pt>
                <c:pt idx="2">
                  <c:v>0.27500000000000002</c:v>
                </c:pt>
                <c:pt idx="3">
                  <c:v>0.16225000000000001</c:v>
                </c:pt>
                <c:pt idx="4">
                  <c:v>8.0750000000000002E-2</c:v>
                </c:pt>
                <c:pt idx="5">
                  <c:v>2.5999999999999999E-2</c:v>
                </c:pt>
                <c:pt idx="6">
                  <c:v>0</c:v>
                </c:pt>
                <c:pt idx="7">
                  <c:v>-2.9250000000000002E-2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8D-4CCD-AE0C-580895A68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59183"/>
        <c:axId val="378955983"/>
      </c:scatterChart>
      <c:valAx>
        <c:axId val="54475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電圧</a:t>
                </a:r>
                <a:r>
                  <a:rPr lang="en-US"/>
                  <a:t>[mV]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378955983"/>
        <c:crosses val="autoZero"/>
        <c:crossBetween val="midCat"/>
      </c:valAx>
      <c:valAx>
        <c:axId val="378955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電流密度 </a:t>
                </a:r>
                <a:r>
                  <a:rPr lang="en-US"/>
                  <a:t>[mA cm-2 ]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7.9759246223589965E-3"/>
              <c:y val="0.232161119158867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54475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78090035585326"/>
          <c:y val="0.1084666121027123"/>
          <c:w val="0.78371811402180958"/>
          <c:h val="0.7526387987163891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>
                    <a:alpha val="94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2502405949256343E-2"/>
                  <c:y val="-0.573697506561679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venir Book" panose="02000503020000020003" pitchFamily="2" charset="0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'J-V特性（メチレンブルー）'!$H$7:$H$16</c:f>
              <c:numCache>
                <c:formatCode>General</c:formatCode>
                <c:ptCount val="1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0.11</c:v>
                </c:pt>
                <c:pt idx="6">
                  <c:v>0.115</c:v>
                </c:pt>
                <c:pt idx="7">
                  <c:v>0.12</c:v>
                </c:pt>
                <c:pt idx="8">
                  <c:v>0.125</c:v>
                </c:pt>
                <c:pt idx="9">
                  <c:v>0.15</c:v>
                </c:pt>
              </c:numCache>
            </c:numRef>
          </c:xVal>
          <c:yVal>
            <c:numRef>
              <c:f>'J-V特性（メチレンブルー）'!$G$7:$G$16</c:f>
              <c:numCache>
                <c:formatCode>General</c:formatCode>
                <c:ptCount val="10"/>
                <c:pt idx="0">
                  <c:v>0.34250000000000003</c:v>
                </c:pt>
                <c:pt idx="1">
                  <c:v>0.24249999999999999</c:v>
                </c:pt>
                <c:pt idx="2">
                  <c:v>0.19750000000000001</c:v>
                </c:pt>
                <c:pt idx="3">
                  <c:v>0.11625000000000001</c:v>
                </c:pt>
                <c:pt idx="4">
                  <c:v>6.7500000000000004E-2</c:v>
                </c:pt>
                <c:pt idx="5">
                  <c:v>0.05</c:v>
                </c:pt>
                <c:pt idx="6">
                  <c:v>3.4000000000000002E-2</c:v>
                </c:pt>
                <c:pt idx="7">
                  <c:v>1.4E-2</c:v>
                </c:pt>
                <c:pt idx="8">
                  <c:v>-7.4999999999999997E-3</c:v>
                </c:pt>
                <c:pt idx="9">
                  <c:v>-5.7250000000000002E-2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F9-4299-990B-D17D5B067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59183"/>
        <c:axId val="378955983"/>
      </c:scatterChart>
      <c:valAx>
        <c:axId val="54475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電圧</a:t>
                </a:r>
                <a:r>
                  <a:rPr lang="en-US"/>
                  <a:t>[mV]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378955983"/>
        <c:crosses val="autoZero"/>
        <c:crossBetween val="midCat"/>
      </c:valAx>
      <c:valAx>
        <c:axId val="378955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電流密度 </a:t>
                </a:r>
                <a:r>
                  <a:rPr lang="en-US"/>
                  <a:t>[mA cm-2 ]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5.4228325857238139E-3"/>
              <c:y val="0.21183969848075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54475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617907887259749"/>
          <c:y val="0.10384263044715313"/>
          <c:w val="0.76466817485165106"/>
          <c:h val="0.7526387987163891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9133306702551786E-2"/>
                  <c:y val="-0.38500015698326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venir Book" panose="02000503020000020003" pitchFamily="2" charset="0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'J-V特性（色素なし）'!$H$8:$H$12</c:f>
              <c:numCache>
                <c:formatCode>General</c:formatCode>
                <c:ptCount val="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</c:numCache>
            </c:numRef>
          </c:xVal>
          <c:yVal>
            <c:numRef>
              <c:f>'J-V特性（色素なし）'!$G$8:$G$12</c:f>
              <c:numCache>
                <c:formatCode>General</c:formatCode>
                <c:ptCount val="5"/>
                <c:pt idx="0">
                  <c:v>8.5250000000000006E-2</c:v>
                </c:pt>
                <c:pt idx="1">
                  <c:v>5.8749999999999997E-2</c:v>
                </c:pt>
                <c:pt idx="2">
                  <c:v>3.6249999999999998E-2</c:v>
                </c:pt>
                <c:pt idx="3">
                  <c:v>1.9E-2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77-41F0-87EE-E79D4EE51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59183"/>
        <c:axId val="378955983"/>
      </c:scatterChart>
      <c:valAx>
        <c:axId val="54475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電圧</a:t>
                </a:r>
                <a:r>
                  <a:rPr lang="en-US"/>
                  <a:t>[mV]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378955983"/>
        <c:crosses val="autoZero"/>
        <c:crossBetween val="midCat"/>
      </c:valAx>
      <c:valAx>
        <c:axId val="378955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r>
                  <a:rPr lang="ja-JP"/>
                  <a:t>電流密度 </a:t>
                </a:r>
                <a:r>
                  <a:rPr lang="en-US"/>
                  <a:t>[mA cm-2 ]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1.0460074665915508E-2"/>
              <c:y val="0.22571127318482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ja-JP"/>
          </a:p>
        </c:txPr>
        <c:crossAx val="54475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453320774266"/>
          <c:y val="5.0715828305017197E-2"/>
          <c:w val="0.80790281738089786"/>
          <c:h val="0.8076021633960874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'光電流（エオシン'!$C$8:$C$28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'光電流（エオシン'!$L$8:$L$28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-6.4237610893544683E-2</c:v>
                </c:pt>
                <c:pt idx="3">
                  <c:v>-4.8501363782808629E-2</c:v>
                </c:pt>
                <c:pt idx="4">
                  <c:v>3.8354994771032158E-2</c:v>
                </c:pt>
                <c:pt idx="5">
                  <c:v>0</c:v>
                </c:pt>
                <c:pt idx="6">
                  <c:v>-2.3758412744232307E-2</c:v>
                </c:pt>
                <c:pt idx="7">
                  <c:v>4.0028025852464781E-2</c:v>
                </c:pt>
                <c:pt idx="8">
                  <c:v>1.7334747086866734E-2</c:v>
                </c:pt>
                <c:pt idx="9">
                  <c:v>7.7831535993846707E-2</c:v>
                </c:pt>
                <c:pt idx="10">
                  <c:v>0.55071667203202723</c:v>
                </c:pt>
                <c:pt idx="11">
                  <c:v>1.7130415234933218</c:v>
                </c:pt>
                <c:pt idx="12">
                  <c:v>3.1253858501049523</c:v>
                </c:pt>
                <c:pt idx="13">
                  <c:v>4.157078799680936</c:v>
                </c:pt>
                <c:pt idx="14">
                  <c:v>4.164924517459287</c:v>
                </c:pt>
                <c:pt idx="15">
                  <c:v>3.3910658686567592</c:v>
                </c:pt>
                <c:pt idx="16">
                  <c:v>2.304636784347792</c:v>
                </c:pt>
                <c:pt idx="17">
                  <c:v>1.5335396781145283</c:v>
                </c:pt>
                <c:pt idx="18">
                  <c:v>1.1106526171116642</c:v>
                </c:pt>
                <c:pt idx="19">
                  <c:v>0.89953890824811744</c:v>
                </c:pt>
                <c:pt idx="20">
                  <c:v>0.74848630900382584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D7-494C-A1C9-AF5A8E51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2351"/>
        <c:axId val="1329183087"/>
      </c:scatterChart>
      <c:valAx>
        <c:axId val="421332351"/>
        <c:scaling>
          <c:orientation val="minMax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波長</a:t>
                </a:r>
                <a:r>
                  <a:rPr lang="en-US" altLang="ja-JP"/>
                  <a:t>[nm]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183087"/>
        <c:crosses val="autoZero"/>
        <c:crossBetween val="midCat"/>
      </c:valAx>
      <c:valAx>
        <c:axId val="1329183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IPCE[%]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133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24662927270962"/>
          <c:y val="5.0715940633669722E-2"/>
          <c:w val="0.80790281738089786"/>
          <c:h val="0.80760216339608748"/>
        </c:manualLayout>
      </c:layout>
      <c:scatterChart>
        <c:scatterStyle val="smoothMarker"/>
        <c:varyColors val="0"/>
        <c:ser>
          <c:idx val="1"/>
          <c:order val="0"/>
          <c:tx>
            <c:v>エオシンY</c:v>
          </c:tx>
          <c:marker>
            <c:symbol val="none"/>
          </c:marker>
          <c:xVal>
            <c:numRef>
              <c:f>'光電流（エオシン'!$C$8:$C$28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'光電流（エオシン'!$L$8:$L$28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-6.4237610893544683E-2</c:v>
                </c:pt>
                <c:pt idx="3">
                  <c:v>-4.8501363782808629E-2</c:v>
                </c:pt>
                <c:pt idx="4">
                  <c:v>3.8354994771032158E-2</c:v>
                </c:pt>
                <c:pt idx="5">
                  <c:v>0</c:v>
                </c:pt>
                <c:pt idx="6">
                  <c:v>-2.3758412744232307E-2</c:v>
                </c:pt>
                <c:pt idx="7">
                  <c:v>4.0028025852464781E-2</c:v>
                </c:pt>
                <c:pt idx="8">
                  <c:v>1.7334747086866734E-2</c:v>
                </c:pt>
                <c:pt idx="9">
                  <c:v>7.7831535993846707E-2</c:v>
                </c:pt>
                <c:pt idx="10">
                  <c:v>0.55071667203202723</c:v>
                </c:pt>
                <c:pt idx="11">
                  <c:v>1.7130415234933218</c:v>
                </c:pt>
                <c:pt idx="12">
                  <c:v>3.1253858501049523</c:v>
                </c:pt>
                <c:pt idx="13">
                  <c:v>4.157078799680936</c:v>
                </c:pt>
                <c:pt idx="14">
                  <c:v>4.164924517459287</c:v>
                </c:pt>
                <c:pt idx="15">
                  <c:v>3.3910658686567592</c:v>
                </c:pt>
                <c:pt idx="16">
                  <c:v>2.304636784347792</c:v>
                </c:pt>
                <c:pt idx="17">
                  <c:v>1.5335396781145283</c:v>
                </c:pt>
                <c:pt idx="18">
                  <c:v>1.1106526171116642</c:v>
                </c:pt>
                <c:pt idx="19">
                  <c:v>0.89953890824811744</c:v>
                </c:pt>
                <c:pt idx="20">
                  <c:v>0.74848630900382584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D0-1C4D-9525-46A7538C0BA4}"/>
            </c:ext>
          </c:extLst>
        </c:ser>
        <c:ser>
          <c:idx val="2"/>
          <c:order val="1"/>
          <c:tx>
            <c:v>メチレンブルー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'光電流（メチレンブルー）'!$D$8:$D$28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'光電流（メチレンブルー）'!$M$8:$M$28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0.12847522178708948</c:v>
                </c:pt>
                <c:pt idx="3">
                  <c:v>0.14550409134842601</c:v>
                </c:pt>
                <c:pt idx="4">
                  <c:v>0.19177497385516099</c:v>
                </c:pt>
                <c:pt idx="5">
                  <c:v>0.29069699422993239</c:v>
                </c:pt>
                <c:pt idx="6">
                  <c:v>0.42765142939618195</c:v>
                </c:pt>
                <c:pt idx="7">
                  <c:v>0.50035032315580985</c:v>
                </c:pt>
                <c:pt idx="8">
                  <c:v>0.52004241260600148</c:v>
                </c:pt>
                <c:pt idx="9">
                  <c:v>0.54482075195692703</c:v>
                </c:pt>
                <c:pt idx="10">
                  <c:v>0.48011197048945975</c:v>
                </c:pt>
                <c:pt idx="11">
                  <c:v>0.4216717596291254</c:v>
                </c:pt>
                <c:pt idx="12">
                  <c:v>0.38585010495122862</c:v>
                </c:pt>
                <c:pt idx="13">
                  <c:v>0.33909706220962327</c:v>
                </c:pt>
                <c:pt idx="14">
                  <c:v>0.31387836943171438</c:v>
                </c:pt>
                <c:pt idx="15">
                  <c:v>0.27081428812189395</c:v>
                </c:pt>
                <c:pt idx="16">
                  <c:v>0.19989196598934936</c:v>
                </c:pt>
                <c:pt idx="17">
                  <c:v>0.15864203566702012</c:v>
                </c:pt>
                <c:pt idx="18">
                  <c:v>5.3741255666693424E-2</c:v>
                </c:pt>
                <c:pt idx="19">
                  <c:v>0</c:v>
                </c:pt>
                <c:pt idx="20">
                  <c:v>-0.24949543633460861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D0-1C4D-9525-46A7538C0BA4}"/>
            </c:ext>
          </c:extLst>
        </c:ser>
        <c:ser>
          <c:idx val="0"/>
          <c:order val="2"/>
          <c:tx>
            <c:v>色素なし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'光電流（メチレンブルー）'!$D$8:$D$28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'光電流（色素なし）'!$L$8:$L$28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-4.8501363782808664E-2</c:v>
                </c:pt>
                <c:pt idx="4">
                  <c:v>-3.8354994771032193E-2</c:v>
                </c:pt>
                <c:pt idx="5">
                  <c:v>-3.2299666025548034E-2</c:v>
                </c:pt>
                <c:pt idx="6">
                  <c:v>0</c:v>
                </c:pt>
                <c:pt idx="7">
                  <c:v>2.0014012926232391E-2</c:v>
                </c:pt>
                <c:pt idx="8">
                  <c:v>1.7334747086866713E-2</c:v>
                </c:pt>
                <c:pt idx="9">
                  <c:v>0</c:v>
                </c:pt>
                <c:pt idx="10">
                  <c:v>0</c:v>
                </c:pt>
                <c:pt idx="11">
                  <c:v>2.6354484976820337E-2</c:v>
                </c:pt>
                <c:pt idx="12">
                  <c:v>5.1446680660163814E-2</c:v>
                </c:pt>
                <c:pt idx="13">
                  <c:v>0.11303235406987445</c:v>
                </c:pt>
                <c:pt idx="14">
                  <c:v>0.16901142969400007</c:v>
                </c:pt>
                <c:pt idx="15">
                  <c:v>0.21194161679104745</c:v>
                </c:pt>
                <c:pt idx="16">
                  <c:v>0.27044207163264916</c:v>
                </c:pt>
                <c:pt idx="17">
                  <c:v>0.31728407133404024</c:v>
                </c:pt>
                <c:pt idx="18">
                  <c:v>0.37618878966685404</c:v>
                </c:pt>
                <c:pt idx="19">
                  <c:v>0.41764306454376876</c:v>
                </c:pt>
                <c:pt idx="20">
                  <c:v>0.16633029088973905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D0-1C4D-9525-46A7538C0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2351"/>
        <c:axId val="1329183087"/>
      </c:scatterChart>
      <c:valAx>
        <c:axId val="421332351"/>
        <c:scaling>
          <c:orientation val="minMax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ja-JP"/>
                  <a:t>波長</a:t>
                </a:r>
                <a:r>
                  <a:rPr lang="en-US"/>
                  <a:t>[nm]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329183087"/>
        <c:crosses val="autoZero"/>
        <c:crossBetween val="midCat"/>
      </c:valAx>
      <c:valAx>
        <c:axId val="1329183087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IPCE[%]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421332351"/>
        <c:crosses val="autoZero"/>
        <c:crossBetween val="midCat"/>
      </c:valAx>
    </c:plotArea>
    <c:legend>
      <c:legendPos val="tr"/>
      <c:overlay val="0"/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0">
          <a:solidFill>
            <a:schemeClr val="tx1"/>
          </a:solidFill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24662927270962"/>
          <c:y val="5.0715940633669722E-2"/>
          <c:w val="0.80790281738089786"/>
          <c:h val="0.8076021633960874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'光電流（メチレンブルー）'!$D$8:$D$28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'光電流（メチレンブルー）'!$M$8:$M$28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0.12847522178708948</c:v>
                </c:pt>
                <c:pt idx="3">
                  <c:v>0.14550409134842601</c:v>
                </c:pt>
                <c:pt idx="4">
                  <c:v>0.19177497385516099</c:v>
                </c:pt>
                <c:pt idx="5">
                  <c:v>0.29069699422993239</c:v>
                </c:pt>
                <c:pt idx="6">
                  <c:v>0.42765142939618195</c:v>
                </c:pt>
                <c:pt idx="7">
                  <c:v>0.50035032315580985</c:v>
                </c:pt>
                <c:pt idx="8">
                  <c:v>0.52004241260600148</c:v>
                </c:pt>
                <c:pt idx="9">
                  <c:v>0.54482075195692703</c:v>
                </c:pt>
                <c:pt idx="10">
                  <c:v>0.48011197048945975</c:v>
                </c:pt>
                <c:pt idx="11">
                  <c:v>0.4216717596291254</c:v>
                </c:pt>
                <c:pt idx="12">
                  <c:v>0.38585010495122862</c:v>
                </c:pt>
                <c:pt idx="13">
                  <c:v>0.33909706220962327</c:v>
                </c:pt>
                <c:pt idx="14">
                  <c:v>0.31387836943171438</c:v>
                </c:pt>
                <c:pt idx="15">
                  <c:v>0.27081428812189395</c:v>
                </c:pt>
                <c:pt idx="16">
                  <c:v>0.19989196598934936</c:v>
                </c:pt>
                <c:pt idx="17">
                  <c:v>0.15864203566702012</c:v>
                </c:pt>
                <c:pt idx="18">
                  <c:v>5.3741255666693424E-2</c:v>
                </c:pt>
                <c:pt idx="19">
                  <c:v>0</c:v>
                </c:pt>
                <c:pt idx="20">
                  <c:v>-0.24949543633460861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89-461F-AC32-25B86301D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2351"/>
        <c:axId val="1329183087"/>
      </c:scatterChart>
      <c:valAx>
        <c:axId val="421332351"/>
        <c:scaling>
          <c:orientation val="minMax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波長</a:t>
                </a:r>
                <a:r>
                  <a:rPr lang="en-US" altLang="ja-JP"/>
                  <a:t>[nm]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183087"/>
        <c:crosses val="autoZero"/>
        <c:crossBetween val="midCat"/>
      </c:valAx>
      <c:valAx>
        <c:axId val="1329183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IPCE[%]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133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24662927270962"/>
          <c:y val="5.0715940633669722E-2"/>
          <c:w val="0.80790281738089786"/>
          <c:h val="0.8076021633960874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'光電流（メチレンブルー）'!$D$8:$D$28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'光電流（色素なし）'!$L$8:$L$28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-4.8501363782808664E-2</c:v>
                </c:pt>
                <c:pt idx="4">
                  <c:v>-3.8354994771032193E-2</c:v>
                </c:pt>
                <c:pt idx="5">
                  <c:v>-3.2299666025548034E-2</c:v>
                </c:pt>
                <c:pt idx="6">
                  <c:v>0</c:v>
                </c:pt>
                <c:pt idx="7">
                  <c:v>2.0014012926232391E-2</c:v>
                </c:pt>
                <c:pt idx="8">
                  <c:v>1.7334747086866713E-2</c:v>
                </c:pt>
                <c:pt idx="9">
                  <c:v>0</c:v>
                </c:pt>
                <c:pt idx="10">
                  <c:v>0</c:v>
                </c:pt>
                <c:pt idx="11">
                  <c:v>2.6354484976820337E-2</c:v>
                </c:pt>
                <c:pt idx="12">
                  <c:v>5.1446680660163814E-2</c:v>
                </c:pt>
                <c:pt idx="13">
                  <c:v>0.11303235406987445</c:v>
                </c:pt>
                <c:pt idx="14">
                  <c:v>0.16901142969400007</c:v>
                </c:pt>
                <c:pt idx="15">
                  <c:v>0.21194161679104745</c:v>
                </c:pt>
                <c:pt idx="16">
                  <c:v>0.27044207163264916</c:v>
                </c:pt>
                <c:pt idx="17">
                  <c:v>0.31728407133404024</c:v>
                </c:pt>
                <c:pt idx="18">
                  <c:v>0.37618878966685404</c:v>
                </c:pt>
                <c:pt idx="19">
                  <c:v>0.41764306454376876</c:v>
                </c:pt>
                <c:pt idx="20">
                  <c:v>0.16633029088973905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28-438E-BCDC-550889E36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2351"/>
        <c:axId val="1329183087"/>
      </c:scatterChart>
      <c:valAx>
        <c:axId val="421332351"/>
        <c:scaling>
          <c:orientation val="minMax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波長</a:t>
                </a:r>
                <a:r>
                  <a:rPr lang="en-US" altLang="ja-JP"/>
                  <a:t>[nm]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9183087"/>
        <c:crosses val="autoZero"/>
        <c:crossBetween val="midCat"/>
      </c:valAx>
      <c:valAx>
        <c:axId val="1329183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IPCE[%]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133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629921</xdr:colOff>
      <xdr:row>7</xdr:row>
      <xdr:rowOff>62227</xdr:rowOff>
    </xdr:from>
    <xdr:to>
      <xdr:col>14</xdr:col>
      <xdr:colOff>339837</xdr:colOff>
      <xdr:row>20</xdr:row>
      <xdr:rowOff>65652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68B6231-7BAF-41D7-A4FD-CB7B4379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287866</xdr:colOff>
      <xdr:row>6</xdr:row>
      <xdr:rowOff>215115</xdr:rowOff>
    </xdr:from>
    <xdr:to>
      <xdr:col>15</xdr:col>
      <xdr:colOff>521055</xdr:colOff>
      <xdr:row>18</xdr:row>
      <xdr:rowOff>218539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E47755-7F80-44FA-B0AD-2EBF76ACB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42333</xdr:colOff>
      <xdr:row>7</xdr:row>
      <xdr:rowOff>208765</xdr:rowOff>
    </xdr:from>
    <xdr:to>
      <xdr:col>15</xdr:col>
      <xdr:colOff>413105</xdr:colOff>
      <xdr:row>19</xdr:row>
      <xdr:rowOff>212189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A887F67-3AF8-4660-B304-A1333355C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284244</xdr:colOff>
      <xdr:row>11</xdr:row>
      <xdr:rowOff>196168</xdr:rowOff>
    </xdr:from>
    <xdr:to>
      <xdr:col>21</xdr:col>
      <xdr:colOff>262380</xdr:colOff>
      <xdr:row>23</xdr:row>
      <xdr:rowOff>203981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EEACE70-8FFF-4E23-A641-2579C3B9A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28</xdr:row>
      <xdr:rowOff>0</xdr:rowOff>
    </xdr:from>
    <xdr:to>
      <xdr:col>22</xdr:col>
      <xdr:colOff>650489</xdr:colOff>
      <xdr:row>40</xdr:row>
      <xdr:rowOff>7813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498CC12-27D0-9E4A-8C85-C8B1E29B9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284244</xdr:colOff>
      <xdr:row>11</xdr:row>
      <xdr:rowOff>196168</xdr:rowOff>
    </xdr:from>
    <xdr:to>
      <xdr:col>22</xdr:col>
      <xdr:colOff>262380</xdr:colOff>
      <xdr:row>23</xdr:row>
      <xdr:rowOff>203981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8945F6-E2AE-45E6-A9D2-AB9EAA2B4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284244</xdr:colOff>
      <xdr:row>11</xdr:row>
      <xdr:rowOff>196168</xdr:rowOff>
    </xdr:from>
    <xdr:to>
      <xdr:col>21</xdr:col>
      <xdr:colOff>262380</xdr:colOff>
      <xdr:row>23</xdr:row>
      <xdr:rowOff>203981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198BF2F-76AE-4A4C-8CD9-9FF00254D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DA81-7A39-4F47-8B18-4B2058884AAD}">
  <dimension ref="B2:R16"/>
  <sheetViews>
    <sheetView topLeftCell="D7" zoomScale="150" workbookViewId="0">
      <selection activeCell="J21" sqref="J21"/>
    </sheetView>
  </sheetViews>
  <sheetFormatPr baseColWidth="10" defaultColWidth="8.83203125" defaultRowHeight="18"/>
  <sheetData>
    <row r="2" spans="2:18">
      <c r="B2" t="s">
        <v>0</v>
      </c>
    </row>
    <row r="3" spans="2:18">
      <c r="B3" t="s">
        <v>20</v>
      </c>
    </row>
    <row r="4" spans="2:18">
      <c r="B4" t="s">
        <v>2</v>
      </c>
      <c r="C4" s="3" t="s">
        <v>3</v>
      </c>
      <c r="D4" s="3"/>
      <c r="E4" s="3" t="s">
        <v>4</v>
      </c>
      <c r="F4" s="3"/>
      <c r="G4" t="s">
        <v>5</v>
      </c>
    </row>
    <row r="5" spans="2:18">
      <c r="B5" t="s">
        <v>6</v>
      </c>
      <c r="C5" s="3" t="s">
        <v>7</v>
      </c>
      <c r="D5" s="3"/>
      <c r="E5" s="3" t="s">
        <v>8</v>
      </c>
      <c r="F5" s="3"/>
      <c r="G5" t="s">
        <v>9</v>
      </c>
    </row>
    <row r="6" spans="2:18">
      <c r="C6" t="s">
        <v>10</v>
      </c>
      <c r="D6" t="s">
        <v>11</v>
      </c>
      <c r="E6" t="s">
        <v>10</v>
      </c>
      <c r="F6" t="s">
        <v>11</v>
      </c>
    </row>
    <row r="7" spans="2:18">
      <c r="B7">
        <v>0</v>
      </c>
      <c r="C7">
        <v>0.11799999999999999</v>
      </c>
      <c r="D7">
        <v>2.4</v>
      </c>
      <c r="E7">
        <f>C7/4</f>
        <v>2.9499999999999998E-2</v>
      </c>
      <c r="F7">
        <f>D7/4</f>
        <v>0.6</v>
      </c>
      <c r="G7">
        <f>B7*-0.001</f>
        <v>0</v>
      </c>
    </row>
    <row r="8" spans="2:18">
      <c r="B8">
        <v>-50</v>
      </c>
      <c r="C8">
        <v>9.0999999999999998E-2</v>
      </c>
      <c r="D8">
        <v>1.69</v>
      </c>
      <c r="E8">
        <f t="shared" ref="E8:F14" si="0">C8/4</f>
        <v>2.2749999999999999E-2</v>
      </c>
      <c r="F8">
        <f t="shared" si="0"/>
        <v>0.42249999999999999</v>
      </c>
      <c r="G8">
        <f t="shared" ref="G8:G14" si="1">B8*-0.001</f>
        <v>0.05</v>
      </c>
    </row>
    <row r="9" spans="2:18">
      <c r="B9">
        <v>-100</v>
      </c>
      <c r="C9">
        <v>5.3999999999999999E-2</v>
      </c>
      <c r="D9">
        <v>1.1000000000000001</v>
      </c>
      <c r="E9">
        <f t="shared" si="0"/>
        <v>1.35E-2</v>
      </c>
      <c r="F9">
        <f t="shared" si="0"/>
        <v>0.27500000000000002</v>
      </c>
      <c r="G9">
        <f t="shared" si="1"/>
        <v>0.1</v>
      </c>
      <c r="Q9" t="s">
        <v>12</v>
      </c>
      <c r="R9">
        <f>0.5242/(2*2.0051)</f>
        <v>0.13071667248516283</v>
      </c>
    </row>
    <row r="10" spans="2:18">
      <c r="B10">
        <v>-150</v>
      </c>
      <c r="C10">
        <v>4.0000000000000001E-3</v>
      </c>
      <c r="D10">
        <v>0.64900000000000002</v>
      </c>
      <c r="E10">
        <f t="shared" si="0"/>
        <v>1E-3</v>
      </c>
      <c r="F10">
        <f t="shared" si="0"/>
        <v>0.16225000000000001</v>
      </c>
      <c r="G10">
        <f t="shared" si="1"/>
        <v>0.15</v>
      </c>
      <c r="Q10" t="s">
        <v>13</v>
      </c>
      <c r="R10">
        <f>-2.0051*R9+0.5242</f>
        <v>0.2621</v>
      </c>
    </row>
    <row r="11" spans="2:18">
      <c r="B11">
        <v>-200</v>
      </c>
      <c r="C11">
        <v>-5.0000000000000001E-3</v>
      </c>
      <c r="D11">
        <v>0.32300000000000001</v>
      </c>
      <c r="E11">
        <f t="shared" si="0"/>
        <v>-1.25E-3</v>
      </c>
      <c r="F11">
        <f t="shared" si="0"/>
        <v>8.0750000000000002E-2</v>
      </c>
      <c r="G11">
        <f t="shared" si="1"/>
        <v>0.2</v>
      </c>
      <c r="Q11" t="s">
        <v>14</v>
      </c>
      <c r="R11">
        <f>R9*R10</f>
        <v>3.4260839858361175E-2</v>
      </c>
    </row>
    <row r="12" spans="2:18" ht="19" customHeight="1">
      <c r="B12">
        <v>-250</v>
      </c>
      <c r="C12">
        <v>-0.125</v>
      </c>
      <c r="D12">
        <v>0.104</v>
      </c>
      <c r="E12">
        <f t="shared" si="0"/>
        <v>-3.125E-2</v>
      </c>
      <c r="F12">
        <f t="shared" si="0"/>
        <v>2.5999999999999999E-2</v>
      </c>
      <c r="G12">
        <f t="shared" si="1"/>
        <v>0.25</v>
      </c>
      <c r="Q12" t="s">
        <v>15</v>
      </c>
      <c r="R12">
        <v>0.5242</v>
      </c>
    </row>
    <row r="13" spans="2:18" ht="19" customHeight="1">
      <c r="B13">
        <v>-275</v>
      </c>
      <c r="C13">
        <v>-0.17299999999999999</v>
      </c>
      <c r="D13">
        <v>0</v>
      </c>
      <c r="E13">
        <f t="shared" si="0"/>
        <v>-4.3249999999999997E-2</v>
      </c>
      <c r="F13">
        <f t="shared" si="0"/>
        <v>0</v>
      </c>
      <c r="G13">
        <f t="shared" si="1"/>
        <v>0.27500000000000002</v>
      </c>
      <c r="Q13" t="s">
        <v>16</v>
      </c>
      <c r="R13">
        <f>0.5242/2.0051</f>
        <v>0.26143334497032567</v>
      </c>
    </row>
    <row r="14" spans="2:18">
      <c r="B14">
        <v>-300</v>
      </c>
      <c r="C14">
        <v>-0.22700000000000001</v>
      </c>
      <c r="D14">
        <v>-0.11700000000000001</v>
      </c>
      <c r="E14">
        <f t="shared" si="0"/>
        <v>-5.6750000000000002E-2</v>
      </c>
      <c r="F14">
        <f t="shared" si="0"/>
        <v>-2.9250000000000002E-2</v>
      </c>
      <c r="G14">
        <f t="shared" si="1"/>
        <v>0.3</v>
      </c>
      <c r="Q14" t="s">
        <v>17</v>
      </c>
      <c r="R14">
        <f>R11/(R12*R13)</f>
        <v>0.25</v>
      </c>
    </row>
    <row r="15" spans="2:18">
      <c r="Q15" t="s">
        <v>18</v>
      </c>
      <c r="R15">
        <v>423</v>
      </c>
    </row>
    <row r="16" spans="2:18">
      <c r="Q16" t="s">
        <v>19</v>
      </c>
      <c r="R16">
        <f>R12*R13*R14*100/R15</f>
        <v>8.0994893282177721E-3</v>
      </c>
    </row>
  </sheetData>
  <mergeCells count="4">
    <mergeCell ref="C4:D4"/>
    <mergeCell ref="E4:F4"/>
    <mergeCell ref="C5:D5"/>
    <mergeCell ref="E5:F5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6AE3-C468-42F5-84FD-F357016E6DC6}">
  <dimension ref="C2:S16"/>
  <sheetViews>
    <sheetView topLeftCell="G1" zoomScale="150" workbookViewId="0">
      <selection activeCell="Q21" sqref="Q21"/>
    </sheetView>
  </sheetViews>
  <sheetFormatPr baseColWidth="10" defaultColWidth="8.83203125" defaultRowHeight="18"/>
  <sheetData>
    <row r="2" spans="3:19">
      <c r="C2" t="s">
        <v>0</v>
      </c>
    </row>
    <row r="3" spans="3:19">
      <c r="C3" t="s">
        <v>1</v>
      </c>
    </row>
    <row r="4" spans="3:19">
      <c r="C4" t="s">
        <v>2</v>
      </c>
      <c r="D4" s="3" t="s">
        <v>3</v>
      </c>
      <c r="E4" s="3"/>
      <c r="F4" s="3" t="s">
        <v>4</v>
      </c>
      <c r="G4" s="3"/>
      <c r="H4" t="s">
        <v>5</v>
      </c>
    </row>
    <row r="5" spans="3:19">
      <c r="C5" t="s">
        <v>6</v>
      </c>
      <c r="D5" s="3" t="s">
        <v>7</v>
      </c>
      <c r="E5" s="3"/>
      <c r="F5" s="3" t="s">
        <v>8</v>
      </c>
      <c r="G5" s="3"/>
      <c r="H5" t="s">
        <v>9</v>
      </c>
    </row>
    <row r="6" spans="3:19">
      <c r="D6" t="s">
        <v>10</v>
      </c>
      <c r="E6" t="s">
        <v>11</v>
      </c>
      <c r="F6" t="s">
        <v>10</v>
      </c>
      <c r="G6" t="s">
        <v>11</v>
      </c>
    </row>
    <row r="7" spans="3:19">
      <c r="C7">
        <v>0</v>
      </c>
      <c r="D7">
        <v>3.6999999999999998E-2</v>
      </c>
      <c r="E7">
        <v>1.37</v>
      </c>
      <c r="F7">
        <f>D7/4</f>
        <v>9.2499999999999995E-3</v>
      </c>
      <c r="G7">
        <f>E7/4</f>
        <v>0.34250000000000003</v>
      </c>
      <c r="H7">
        <f>C7*-0.001</f>
        <v>0</v>
      </c>
    </row>
    <row r="8" spans="3:19">
      <c r="C8">
        <v>-25</v>
      </c>
      <c r="D8">
        <v>-8.0000000000000002E-3</v>
      </c>
      <c r="E8">
        <v>0.97</v>
      </c>
      <c r="F8">
        <f>D8/4</f>
        <v>-2E-3</v>
      </c>
      <c r="G8">
        <f>E8/4</f>
        <v>0.24249999999999999</v>
      </c>
      <c r="H8">
        <f>C8*-0.001</f>
        <v>2.5000000000000001E-2</v>
      </c>
    </row>
    <row r="9" spans="3:19">
      <c r="C9">
        <v>-50</v>
      </c>
      <c r="D9">
        <v>-2.4E-2</v>
      </c>
      <c r="E9">
        <v>0.79</v>
      </c>
      <c r="F9">
        <f t="shared" ref="F9:F16" si="0">D9/4</f>
        <v>-6.0000000000000001E-3</v>
      </c>
      <c r="G9">
        <f t="shared" ref="G9:G16" si="1">E9/4</f>
        <v>0.19750000000000001</v>
      </c>
      <c r="H9">
        <f t="shared" ref="H9:H16" si="2">C9*-0.001</f>
        <v>0.05</v>
      </c>
      <c r="R9" t="s">
        <v>12</v>
      </c>
      <c r="S9">
        <f>0.3246/(2*2.5818)</f>
        <v>6.2863118754357433E-2</v>
      </c>
    </row>
    <row r="10" spans="3:19">
      <c r="C10">
        <v>-75</v>
      </c>
      <c r="D10">
        <v>-7.4999999999999997E-2</v>
      </c>
      <c r="E10">
        <v>0.46500000000000002</v>
      </c>
      <c r="F10">
        <f>D10/4</f>
        <v>-1.8749999999999999E-2</v>
      </c>
      <c r="G10">
        <f t="shared" si="1"/>
        <v>0.11625000000000001</v>
      </c>
      <c r="H10">
        <f t="shared" si="2"/>
        <v>7.4999999999999997E-2</v>
      </c>
      <c r="R10" t="s">
        <v>13</v>
      </c>
      <c r="S10">
        <f>-2.5818*S9+0.3246</f>
        <v>0.1623</v>
      </c>
    </row>
    <row r="11" spans="3:19">
      <c r="C11">
        <v>-100</v>
      </c>
      <c r="D11">
        <v>-0.126</v>
      </c>
      <c r="E11">
        <v>0.27</v>
      </c>
      <c r="F11">
        <f t="shared" si="0"/>
        <v>-3.15E-2</v>
      </c>
      <c r="G11">
        <f t="shared" si="1"/>
        <v>6.7500000000000004E-2</v>
      </c>
      <c r="H11">
        <f t="shared" si="2"/>
        <v>0.1</v>
      </c>
      <c r="R11" t="s">
        <v>14</v>
      </c>
      <c r="S11">
        <f>S9*S10</f>
        <v>1.0202684173832211E-2</v>
      </c>
    </row>
    <row r="12" spans="3:19">
      <c r="C12">
        <v>-110</v>
      </c>
      <c r="D12">
        <v>-0.15</v>
      </c>
      <c r="E12">
        <v>0.2</v>
      </c>
      <c r="F12">
        <f t="shared" si="0"/>
        <v>-3.7499999999999999E-2</v>
      </c>
      <c r="G12">
        <f t="shared" si="1"/>
        <v>0.05</v>
      </c>
      <c r="H12">
        <f t="shared" si="2"/>
        <v>0.11</v>
      </c>
      <c r="R12" t="s">
        <v>15</v>
      </c>
      <c r="S12">
        <v>0.3246</v>
      </c>
    </row>
    <row r="13" spans="3:19">
      <c r="C13">
        <v>-115</v>
      </c>
      <c r="D13">
        <v>-0.16600000000000001</v>
      </c>
      <c r="E13">
        <v>0.13600000000000001</v>
      </c>
      <c r="F13">
        <f t="shared" si="0"/>
        <v>-4.1500000000000002E-2</v>
      </c>
      <c r="G13">
        <f t="shared" si="1"/>
        <v>3.4000000000000002E-2</v>
      </c>
      <c r="H13">
        <f t="shared" si="2"/>
        <v>0.115</v>
      </c>
      <c r="R13" t="s">
        <v>16</v>
      </c>
      <c r="S13">
        <f>0.3246/2.5818</f>
        <v>0.12572623750871487</v>
      </c>
    </row>
    <row r="14" spans="3:19">
      <c r="C14">
        <v>-120</v>
      </c>
      <c r="D14">
        <v>-0.20300000000000001</v>
      </c>
      <c r="E14">
        <v>5.6000000000000001E-2</v>
      </c>
      <c r="F14">
        <f t="shared" si="0"/>
        <v>-5.0750000000000003E-2</v>
      </c>
      <c r="G14">
        <f t="shared" si="1"/>
        <v>1.4E-2</v>
      </c>
      <c r="H14">
        <f t="shared" si="2"/>
        <v>0.12</v>
      </c>
      <c r="R14" t="s">
        <v>17</v>
      </c>
      <c r="S14">
        <f>S11/(S12*S13)</f>
        <v>0.25</v>
      </c>
    </row>
    <row r="15" spans="3:19">
      <c r="C15">
        <v>-125</v>
      </c>
      <c r="D15">
        <v>-0.21299999999999999</v>
      </c>
      <c r="E15">
        <v>-0.03</v>
      </c>
      <c r="F15">
        <f t="shared" si="0"/>
        <v>-5.3249999999999999E-2</v>
      </c>
      <c r="G15">
        <f t="shared" si="1"/>
        <v>-7.4999999999999997E-3</v>
      </c>
      <c r="H15">
        <f t="shared" si="2"/>
        <v>0.125</v>
      </c>
      <c r="R15" t="s">
        <v>18</v>
      </c>
      <c r="S15">
        <v>423</v>
      </c>
    </row>
    <row r="16" spans="3:19">
      <c r="C16">
        <v>-150</v>
      </c>
      <c r="D16">
        <v>-0.311</v>
      </c>
      <c r="E16">
        <v>-0.22900000000000001</v>
      </c>
      <c r="F16">
        <f t="shared" si="0"/>
        <v>-7.775E-2</v>
      </c>
      <c r="G16">
        <f t="shared" si="1"/>
        <v>-5.7250000000000002E-2</v>
      </c>
      <c r="H16">
        <f t="shared" si="2"/>
        <v>0.15</v>
      </c>
      <c r="R16" t="s">
        <v>19</v>
      </c>
      <c r="S16">
        <f>S12*S13*S14*100/S15</f>
        <v>2.4119820741920119E-3</v>
      </c>
    </row>
  </sheetData>
  <mergeCells count="4">
    <mergeCell ref="D4:E4"/>
    <mergeCell ref="F4:G4"/>
    <mergeCell ref="D5:E5"/>
    <mergeCell ref="F5:G5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25DA-7144-4C3C-9E77-17D62025F806}">
  <dimension ref="C3:S17"/>
  <sheetViews>
    <sheetView tabSelected="1" topLeftCell="C4" zoomScale="150" workbookViewId="0">
      <selection activeCell="L23" sqref="L23"/>
    </sheetView>
  </sheetViews>
  <sheetFormatPr baseColWidth="10" defaultColWidth="8.83203125" defaultRowHeight="18"/>
  <sheetData>
    <row r="3" spans="3:19">
      <c r="C3" t="s">
        <v>0</v>
      </c>
    </row>
    <row r="4" spans="3:19">
      <c r="C4" t="s">
        <v>1</v>
      </c>
    </row>
    <row r="5" spans="3:19">
      <c r="C5" t="s">
        <v>2</v>
      </c>
      <c r="D5" s="3" t="s">
        <v>3</v>
      </c>
      <c r="E5" s="3"/>
      <c r="F5" s="3" t="s">
        <v>4</v>
      </c>
      <c r="G5" s="3"/>
      <c r="H5" t="s">
        <v>5</v>
      </c>
    </row>
    <row r="6" spans="3:19">
      <c r="C6" t="s">
        <v>6</v>
      </c>
      <c r="D6" s="3" t="s">
        <v>7</v>
      </c>
      <c r="E6" s="3"/>
      <c r="F6" s="3" t="s">
        <v>8</v>
      </c>
      <c r="G6" s="3"/>
      <c r="H6" t="s">
        <v>9</v>
      </c>
    </row>
    <row r="7" spans="3:19">
      <c r="D7" t="s">
        <v>10</v>
      </c>
      <c r="E7" t="s">
        <v>11</v>
      </c>
      <c r="F7" t="s">
        <v>10</v>
      </c>
      <c r="G7" t="s">
        <v>11</v>
      </c>
    </row>
    <row r="8" spans="3:19">
      <c r="C8">
        <v>0</v>
      </c>
      <c r="D8">
        <v>6.0000000000000001E-3</v>
      </c>
      <c r="E8">
        <v>0.34100000000000003</v>
      </c>
      <c r="F8">
        <f>D8/4</f>
        <v>1.5E-3</v>
      </c>
      <c r="G8">
        <f>E8/4</f>
        <v>8.5250000000000006E-2</v>
      </c>
      <c r="H8">
        <f>C8*-0.001</f>
        <v>0</v>
      </c>
    </row>
    <row r="9" spans="3:19">
      <c r="C9">
        <v>-25</v>
      </c>
      <c r="D9">
        <v>-3.0000000000000001E-3</v>
      </c>
      <c r="E9">
        <v>0.23499999999999999</v>
      </c>
      <c r="F9">
        <f>D9/4</f>
        <v>-7.5000000000000002E-4</v>
      </c>
      <c r="G9">
        <f>E9/4</f>
        <v>5.8749999999999997E-2</v>
      </c>
      <c r="H9">
        <f>C9*-0.001</f>
        <v>2.5000000000000001E-2</v>
      </c>
    </row>
    <row r="10" spans="3:19">
      <c r="C10">
        <v>-50</v>
      </c>
      <c r="D10">
        <v>-2.1000000000000001E-2</v>
      </c>
      <c r="E10">
        <v>0.14499999999999999</v>
      </c>
      <c r="F10">
        <f t="shared" ref="F10:G12" si="0">D10/4</f>
        <v>-5.2500000000000003E-3</v>
      </c>
      <c r="G10">
        <f t="shared" si="0"/>
        <v>3.6249999999999998E-2</v>
      </c>
      <c r="H10">
        <f t="shared" ref="H10:H12" si="1">C10*-0.001</f>
        <v>0.05</v>
      </c>
      <c r="R10" t="s">
        <v>12</v>
      </c>
      <c r="S10">
        <f>0.0819/(2*0.841)</f>
        <v>4.8692033293697978E-2</v>
      </c>
    </row>
    <row r="11" spans="3:19">
      <c r="C11">
        <v>-75</v>
      </c>
      <c r="D11">
        <v>-3.5000000000000003E-2</v>
      </c>
      <c r="E11">
        <v>7.5999999999999998E-2</v>
      </c>
      <c r="F11">
        <f t="shared" si="0"/>
        <v>-8.7500000000000008E-3</v>
      </c>
      <c r="G11">
        <f t="shared" si="0"/>
        <v>1.9E-2</v>
      </c>
      <c r="H11">
        <f t="shared" si="1"/>
        <v>7.4999999999999997E-2</v>
      </c>
      <c r="R11" t="s">
        <v>13</v>
      </c>
      <c r="S11">
        <f>-0.841*S10+0.0819</f>
        <v>4.095E-2</v>
      </c>
    </row>
    <row r="12" spans="3:19">
      <c r="C12">
        <v>-100</v>
      </c>
      <c r="D12">
        <v>-5.3999999999999999E-2</v>
      </c>
      <c r="E12">
        <v>0</v>
      </c>
      <c r="F12">
        <f t="shared" si="0"/>
        <v>-1.35E-2</v>
      </c>
      <c r="G12">
        <f t="shared" si="0"/>
        <v>0</v>
      </c>
      <c r="H12">
        <f t="shared" si="1"/>
        <v>0.1</v>
      </c>
      <c r="R12" t="s">
        <v>14</v>
      </c>
      <c r="S12">
        <f>S10*S11</f>
        <v>1.9939387633769322E-3</v>
      </c>
    </row>
    <row r="13" spans="3:19">
      <c r="R13" t="s">
        <v>15</v>
      </c>
      <c r="S13">
        <v>8.1900000000000001E-2</v>
      </c>
    </row>
    <row r="14" spans="3:19">
      <c r="R14" t="s">
        <v>16</v>
      </c>
      <c r="S14">
        <f>0.0819/0.841</f>
        <v>9.7384066587395957E-2</v>
      </c>
    </row>
    <row r="15" spans="3:19">
      <c r="R15" t="s">
        <v>17</v>
      </c>
      <c r="S15">
        <f>S12/(S13*S14)</f>
        <v>0.25</v>
      </c>
    </row>
    <row r="16" spans="3:19">
      <c r="R16" t="s">
        <v>18</v>
      </c>
      <c r="S16">
        <v>423</v>
      </c>
    </row>
    <row r="17" spans="18:19">
      <c r="R17" t="s">
        <v>19</v>
      </c>
      <c r="S17">
        <f>S13*S14*S15*100/S16</f>
        <v>4.7138032231133152E-4</v>
      </c>
    </row>
  </sheetData>
  <mergeCells count="4">
    <mergeCell ref="D5:E5"/>
    <mergeCell ref="F5:G5"/>
    <mergeCell ref="D6:E6"/>
    <mergeCell ref="F6:G6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1E06-0AC9-405D-8C96-D1769DD6E991}">
  <dimension ref="C2:O28"/>
  <sheetViews>
    <sheetView topLeftCell="J20" zoomScale="150" workbookViewId="0">
      <selection activeCell="Y34" sqref="Y34"/>
    </sheetView>
  </sheetViews>
  <sheetFormatPr baseColWidth="10" defaultColWidth="8.83203125" defaultRowHeight="18"/>
  <sheetData>
    <row r="2" spans="3:15">
      <c r="D2" s="1"/>
    </row>
    <row r="3" spans="3:15">
      <c r="C3" t="s">
        <v>21</v>
      </c>
      <c r="D3" s="1"/>
      <c r="N3" t="s">
        <v>22</v>
      </c>
    </row>
    <row r="4" spans="3:15">
      <c r="C4" t="s">
        <v>23</v>
      </c>
      <c r="D4" s="2"/>
      <c r="N4" t="s">
        <v>24</v>
      </c>
      <c r="O4">
        <f>1.602*10^-19</f>
        <v>1.602E-19</v>
      </c>
    </row>
    <row r="5" spans="3:15">
      <c r="D5" s="2"/>
      <c r="E5" s="3" t="s">
        <v>3</v>
      </c>
      <c r="F5" s="3"/>
      <c r="G5" s="3"/>
    </row>
    <row r="6" spans="3:15">
      <c r="C6" t="s">
        <v>25</v>
      </c>
      <c r="D6" s="2" t="s">
        <v>26</v>
      </c>
      <c r="E6" t="s">
        <v>10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</row>
    <row r="7" spans="3:15">
      <c r="C7" t="s">
        <v>34</v>
      </c>
      <c r="D7" s="2" t="s">
        <v>35</v>
      </c>
      <c r="E7" s="3" t="s">
        <v>7</v>
      </c>
      <c r="F7" s="3"/>
      <c r="G7" s="3"/>
      <c r="H7" t="s">
        <v>8</v>
      </c>
      <c r="I7" t="s">
        <v>36</v>
      </c>
      <c r="J7" t="s">
        <v>37</v>
      </c>
      <c r="K7" t="s">
        <v>36</v>
      </c>
    </row>
    <row r="8" spans="3:15">
      <c r="C8">
        <v>800</v>
      </c>
      <c r="D8">
        <v>0.39729999999999999</v>
      </c>
      <c r="E8">
        <v>1.2999999999999999E-2</v>
      </c>
      <c r="F8">
        <v>1.2999999999999999E-2</v>
      </c>
      <c r="G8">
        <f>F8-E8</f>
        <v>0</v>
      </c>
      <c r="H8">
        <f>G8/4</f>
        <v>0</v>
      </c>
      <c r="I8">
        <f>H8*0.001/(1.602*10^-19)</f>
        <v>0</v>
      </c>
      <c r="J8">
        <f>(6.626*10^-34*3*10^8)/(C8*10^-9)</f>
        <v>2.4847500000000004E-19</v>
      </c>
      <c r="K8">
        <f>D8/(J8*1000)</f>
        <v>1598953617064090.5</v>
      </c>
      <c r="L8">
        <f>100*I8/K8</f>
        <v>0</v>
      </c>
    </row>
    <row r="9" spans="3:15">
      <c r="C9">
        <v>780</v>
      </c>
      <c r="D9">
        <v>0.46639999999999998</v>
      </c>
      <c r="E9">
        <v>1.2999999999999999E-2</v>
      </c>
      <c r="F9">
        <v>1.2999999999999999E-2</v>
      </c>
      <c r="G9">
        <f t="shared" ref="G9:G28" si="0">F9-E9</f>
        <v>0</v>
      </c>
      <c r="H9">
        <f t="shared" ref="H9:H28" si="1">G9/4</f>
        <v>0</v>
      </c>
      <c r="I9">
        <f t="shared" ref="I9:I28" si="2">H9*0.001/(1.602*10^-19)</f>
        <v>0</v>
      </c>
      <c r="J9">
        <f t="shared" ref="J9:J28" si="3">(6.626*10^-34*3*10^8)/(C9*10^-9)</f>
        <v>2.548461538461539E-19</v>
      </c>
      <c r="K9">
        <f t="shared" ref="K9:K28" si="4">D9/(J9*1000)</f>
        <v>1830123754904919.5</v>
      </c>
      <c r="L9">
        <f t="shared" ref="L9:L28" si="5">100*I9/K9</f>
        <v>0</v>
      </c>
    </row>
    <row r="10" spans="3:15">
      <c r="C10">
        <v>760</v>
      </c>
      <c r="D10">
        <v>0.63540000000000008</v>
      </c>
      <c r="E10">
        <v>1.2999999999999999E-2</v>
      </c>
      <c r="F10">
        <v>1.2E-2</v>
      </c>
      <c r="G10">
        <f t="shared" si="0"/>
        <v>-9.9999999999999915E-4</v>
      </c>
      <c r="H10">
        <f t="shared" si="1"/>
        <v>-2.4999999999999979E-4</v>
      </c>
      <c r="I10">
        <f t="shared" si="2"/>
        <v>-1560549313358.3008</v>
      </c>
      <c r="J10">
        <f t="shared" si="3"/>
        <v>2.615526315789474E-19</v>
      </c>
      <c r="K10">
        <f t="shared" si="4"/>
        <v>2429338967702988</v>
      </c>
      <c r="L10">
        <f t="shared" si="5"/>
        <v>-6.4237610893544683E-2</v>
      </c>
    </row>
    <row r="11" spans="3:15">
      <c r="C11">
        <v>740</v>
      </c>
      <c r="D11">
        <v>0.86430000000000007</v>
      </c>
      <c r="E11">
        <v>1.2999999999999999E-2</v>
      </c>
      <c r="F11">
        <v>1.2E-2</v>
      </c>
      <c r="G11">
        <f t="shared" si="0"/>
        <v>-9.9999999999999915E-4</v>
      </c>
      <c r="H11">
        <f t="shared" si="1"/>
        <v>-2.4999999999999979E-4</v>
      </c>
      <c r="I11">
        <f t="shared" si="2"/>
        <v>-1560549313358.3008</v>
      </c>
      <c r="J11">
        <f t="shared" si="3"/>
        <v>2.686216216216217E-19</v>
      </c>
      <c r="K11">
        <f t="shared" si="4"/>
        <v>3217536975550859.5</v>
      </c>
      <c r="L11">
        <f t="shared" si="5"/>
        <v>-4.8501363782808629E-2</v>
      </c>
    </row>
    <row r="12" spans="3:15">
      <c r="C12">
        <v>720</v>
      </c>
      <c r="D12">
        <v>1.1233</v>
      </c>
      <c r="E12">
        <v>1.2E-2</v>
      </c>
      <c r="F12">
        <v>1.2999999999999999E-2</v>
      </c>
      <c r="G12">
        <f t="shared" si="0"/>
        <v>9.9999999999999915E-4</v>
      </c>
      <c r="H12">
        <f t="shared" si="1"/>
        <v>2.4999999999999979E-4</v>
      </c>
      <c r="I12">
        <f t="shared" si="2"/>
        <v>1560549313358.3008</v>
      </c>
      <c r="J12">
        <f t="shared" si="3"/>
        <v>2.7608333333333337E-19</v>
      </c>
      <c r="K12">
        <f t="shared" si="4"/>
        <v>4068699064292181.5</v>
      </c>
      <c r="L12">
        <f t="shared" si="5"/>
        <v>3.8354994771032158E-2</v>
      </c>
    </row>
    <row r="13" spans="3:15">
      <c r="C13">
        <v>700</v>
      </c>
      <c r="D13">
        <v>1.3719999999999999</v>
      </c>
      <c r="E13">
        <v>1.2999999999999999E-2</v>
      </c>
      <c r="F13">
        <v>1.2999999999999999E-2</v>
      </c>
      <c r="G13">
        <f t="shared" si="0"/>
        <v>0</v>
      </c>
      <c r="H13">
        <f t="shared" si="1"/>
        <v>0</v>
      </c>
      <c r="I13">
        <f t="shared" si="2"/>
        <v>0</v>
      </c>
      <c r="J13">
        <f t="shared" si="3"/>
        <v>2.8397142857142862E-19</v>
      </c>
      <c r="K13">
        <f t="shared" si="4"/>
        <v>4831471979072340</v>
      </c>
      <c r="L13">
        <f t="shared" si="5"/>
        <v>0</v>
      </c>
    </row>
    <row r="14" spans="3:15">
      <c r="C14">
        <v>680</v>
      </c>
      <c r="D14">
        <v>1.9200999999999999</v>
      </c>
      <c r="E14">
        <v>1.2999999999999999E-2</v>
      </c>
      <c r="F14">
        <v>1.2E-2</v>
      </c>
      <c r="G14">
        <f t="shared" si="0"/>
        <v>-9.9999999999999915E-4</v>
      </c>
      <c r="H14">
        <f t="shared" si="1"/>
        <v>-2.4999999999999979E-4</v>
      </c>
      <c r="I14">
        <f t="shared" si="2"/>
        <v>-1560549313358.3008</v>
      </c>
      <c r="J14">
        <f t="shared" si="3"/>
        <v>2.9232352941176477E-19</v>
      </c>
      <c r="K14">
        <f t="shared" si="4"/>
        <v>6568407284435052</v>
      </c>
      <c r="L14">
        <f t="shared" si="5"/>
        <v>-2.3758412744232307E-2</v>
      </c>
    </row>
    <row r="15" spans="3:15">
      <c r="C15">
        <v>660</v>
      </c>
      <c r="D15">
        <v>2.3483999999999998</v>
      </c>
      <c r="E15">
        <v>1.2E-2</v>
      </c>
      <c r="F15">
        <v>1.4E-2</v>
      </c>
      <c r="G15">
        <f t="shared" si="0"/>
        <v>2E-3</v>
      </c>
      <c r="H15">
        <f t="shared" si="1"/>
        <v>5.0000000000000001E-4</v>
      </c>
      <c r="I15">
        <f t="shared" si="2"/>
        <v>3121098626716.604</v>
      </c>
      <c r="J15">
        <f t="shared" si="3"/>
        <v>3.0118181818181824E-19</v>
      </c>
      <c r="K15">
        <f t="shared" si="4"/>
        <v>7797283428916387</v>
      </c>
      <c r="L15">
        <f t="shared" si="5"/>
        <v>4.0028025852464781E-2</v>
      </c>
    </row>
    <row r="16" spans="3:15">
      <c r="C16">
        <v>640</v>
      </c>
      <c r="D16">
        <v>2.7961</v>
      </c>
      <c r="E16">
        <v>1.2999999999999999E-2</v>
      </c>
      <c r="F16">
        <v>1.4E-2</v>
      </c>
      <c r="G16">
        <f t="shared" si="0"/>
        <v>1.0000000000000009E-3</v>
      </c>
      <c r="H16">
        <f t="shared" si="1"/>
        <v>2.5000000000000022E-4</v>
      </c>
      <c r="I16">
        <f t="shared" si="2"/>
        <v>1560549313358.3037</v>
      </c>
      <c r="J16">
        <f t="shared" si="3"/>
        <v>3.1059375000000007E-19</v>
      </c>
      <c r="K16">
        <f t="shared" si="4"/>
        <v>9002434852600863</v>
      </c>
      <c r="L16">
        <f t="shared" si="5"/>
        <v>1.7334747086866734E-2</v>
      </c>
    </row>
    <row r="17" spans="3:12">
      <c r="C17">
        <v>620</v>
      </c>
      <c r="D17">
        <v>3.2141999999999999</v>
      </c>
      <c r="E17">
        <v>1.2999999999999999E-2</v>
      </c>
      <c r="F17">
        <v>1.7999999999999999E-2</v>
      </c>
      <c r="G17">
        <f t="shared" si="0"/>
        <v>4.9999999999999992E-3</v>
      </c>
      <c r="H17">
        <f t="shared" si="1"/>
        <v>1.2499999999999998E-3</v>
      </c>
      <c r="I17">
        <f t="shared" si="2"/>
        <v>7802746566791.5098</v>
      </c>
      <c r="J17">
        <f t="shared" si="3"/>
        <v>3.2061290322580654E-19</v>
      </c>
      <c r="K17">
        <f t="shared" si="4"/>
        <v>1.0025173558708116E+16</v>
      </c>
      <c r="L17">
        <f t="shared" si="5"/>
        <v>7.7831535993846707E-2</v>
      </c>
    </row>
    <row r="18" spans="3:12">
      <c r="C18">
        <v>600</v>
      </c>
      <c r="D18">
        <v>3.6613000000000002</v>
      </c>
      <c r="E18">
        <v>1.2999999999999999E-2</v>
      </c>
      <c r="F18">
        <v>5.1999999999999998E-2</v>
      </c>
      <c r="G18">
        <f t="shared" si="0"/>
        <v>3.9E-2</v>
      </c>
      <c r="H18">
        <f t="shared" si="1"/>
        <v>9.75E-3</v>
      </c>
      <c r="I18">
        <f t="shared" si="2"/>
        <v>60861423220973.781</v>
      </c>
      <c r="J18">
        <f t="shared" si="3"/>
        <v>3.3130000000000002E-19</v>
      </c>
      <c r="K18">
        <f t="shared" si="4"/>
        <v>1.1051313009357078E+16</v>
      </c>
      <c r="L18">
        <f t="shared" si="5"/>
        <v>0.55071667203202723</v>
      </c>
    </row>
    <row r="19" spans="3:12">
      <c r="C19">
        <v>580</v>
      </c>
      <c r="D19">
        <v>4.0587999999999997</v>
      </c>
      <c r="E19">
        <v>1.2E-2</v>
      </c>
      <c r="F19">
        <v>0.14199999999999999</v>
      </c>
      <c r="G19">
        <f t="shared" si="0"/>
        <v>0.12999999999999998</v>
      </c>
      <c r="H19">
        <f t="shared" si="1"/>
        <v>3.2499999999999994E-2</v>
      </c>
      <c r="I19">
        <f t="shared" si="2"/>
        <v>202871410736579.25</v>
      </c>
      <c r="J19">
        <f t="shared" si="3"/>
        <v>3.4272413793103452E-19</v>
      </c>
      <c r="K19">
        <f t="shared" si="4"/>
        <v>1.1842760841130896E+16</v>
      </c>
      <c r="L19">
        <f t="shared" si="5"/>
        <v>1.7130415234933218</v>
      </c>
    </row>
    <row r="20" spans="3:12">
      <c r="C20">
        <v>560</v>
      </c>
      <c r="D20">
        <v>4.3068999999999997</v>
      </c>
      <c r="E20">
        <v>1.2999999999999999E-2</v>
      </c>
      <c r="F20">
        <v>0.25600000000000001</v>
      </c>
      <c r="G20">
        <f t="shared" si="0"/>
        <v>0.24299999999999999</v>
      </c>
      <c r="H20">
        <f t="shared" si="1"/>
        <v>6.0749999999999998E-2</v>
      </c>
      <c r="I20">
        <f t="shared" si="2"/>
        <v>379213483146067.44</v>
      </c>
      <c r="J20">
        <f t="shared" si="3"/>
        <v>3.5496428571428577E-19</v>
      </c>
      <c r="K20">
        <f t="shared" si="4"/>
        <v>1.213333333333333E+16</v>
      </c>
      <c r="L20">
        <f t="shared" si="5"/>
        <v>3.1253858501049523</v>
      </c>
    </row>
    <row r="21" spans="3:12">
      <c r="C21">
        <v>540</v>
      </c>
      <c r="D21">
        <v>4.5739999999999998</v>
      </c>
      <c r="E21">
        <v>1.2999999999999999E-2</v>
      </c>
      <c r="F21">
        <v>0.34399999999999997</v>
      </c>
      <c r="G21">
        <f t="shared" si="0"/>
        <v>0.33099999999999996</v>
      </c>
      <c r="H21">
        <f t="shared" si="1"/>
        <v>8.274999999999999E-2</v>
      </c>
      <c r="I21">
        <f t="shared" si="2"/>
        <v>516541822721597.94</v>
      </c>
      <c r="J21">
        <f t="shared" si="3"/>
        <v>3.6811111111111119E-19</v>
      </c>
      <c r="K21">
        <f t="shared" si="4"/>
        <v>1.2425596136432234E+16</v>
      </c>
      <c r="L21">
        <f t="shared" si="5"/>
        <v>4.157078799680936</v>
      </c>
    </row>
    <row r="22" spans="3:12">
      <c r="C22">
        <v>520</v>
      </c>
      <c r="D22">
        <v>4.9415000000000004</v>
      </c>
      <c r="E22">
        <v>1.2E-2</v>
      </c>
      <c r="F22">
        <v>0.35699999999999998</v>
      </c>
      <c r="G22">
        <f t="shared" si="0"/>
        <v>0.34499999999999997</v>
      </c>
      <c r="H22">
        <f t="shared" si="1"/>
        <v>8.6249999999999993E-2</v>
      </c>
      <c r="I22">
        <f t="shared" si="2"/>
        <v>538389513108614.19</v>
      </c>
      <c r="J22">
        <f t="shared" si="3"/>
        <v>3.8226923076923087E-19</v>
      </c>
      <c r="K22">
        <f t="shared" si="4"/>
        <v>1.2926753194486364E+16</v>
      </c>
      <c r="L22">
        <f t="shared" si="5"/>
        <v>4.164924517459287</v>
      </c>
    </row>
    <row r="23" spans="3:12">
      <c r="C23">
        <v>500</v>
      </c>
      <c r="D23">
        <v>5.2690999999999999</v>
      </c>
      <c r="E23">
        <v>1.2999999999999999E-2</v>
      </c>
      <c r="F23">
        <v>0.30099999999999999</v>
      </c>
      <c r="G23">
        <f t="shared" si="0"/>
        <v>0.28799999999999998</v>
      </c>
      <c r="H23">
        <f t="shared" si="1"/>
        <v>7.1999999999999995E-2</v>
      </c>
      <c r="I23">
        <f t="shared" si="2"/>
        <v>449438202247191</v>
      </c>
      <c r="J23">
        <f t="shared" si="3"/>
        <v>3.9756000000000003E-19</v>
      </c>
      <c r="K23">
        <f t="shared" si="4"/>
        <v>1.3253596941342186E+16</v>
      </c>
      <c r="L23">
        <f t="shared" si="5"/>
        <v>3.3910658686567592</v>
      </c>
    </row>
    <row r="24" spans="3:12">
      <c r="C24">
        <v>480</v>
      </c>
      <c r="D24">
        <v>5.4962</v>
      </c>
      <c r="E24">
        <v>1.2999999999999999E-2</v>
      </c>
      <c r="F24">
        <v>0.20899999999999999</v>
      </c>
      <c r="G24">
        <f t="shared" si="0"/>
        <v>0.19599999999999998</v>
      </c>
      <c r="H24">
        <f t="shared" si="1"/>
        <v>4.8999999999999995E-2</v>
      </c>
      <c r="I24">
        <f t="shared" si="2"/>
        <v>305867665418227.19</v>
      </c>
      <c r="J24">
        <f t="shared" si="3"/>
        <v>4.1412500000000005E-19</v>
      </c>
      <c r="K24">
        <f t="shared" si="4"/>
        <v>1.3271838213099908E+16</v>
      </c>
      <c r="L24">
        <f t="shared" si="5"/>
        <v>2.304636784347792</v>
      </c>
    </row>
    <row r="25" spans="3:12">
      <c r="C25">
        <v>460</v>
      </c>
      <c r="D25">
        <v>5.101</v>
      </c>
      <c r="E25">
        <v>1.2999999999999999E-2</v>
      </c>
      <c r="F25">
        <v>0.129</v>
      </c>
      <c r="G25">
        <f t="shared" si="0"/>
        <v>0.11600000000000001</v>
      </c>
      <c r="H25">
        <f t="shared" si="1"/>
        <v>2.9000000000000001E-2</v>
      </c>
      <c r="I25">
        <f t="shared" si="2"/>
        <v>181023720349563.06</v>
      </c>
      <c r="J25">
        <f t="shared" si="3"/>
        <v>4.3213043478260877E-19</v>
      </c>
      <c r="K25">
        <f t="shared" si="4"/>
        <v>1.1804306268236238E+16</v>
      </c>
      <c r="L25">
        <f t="shared" si="5"/>
        <v>1.5335396781145283</v>
      </c>
    </row>
    <row r="26" spans="3:12">
      <c r="C26">
        <v>440</v>
      </c>
      <c r="D26">
        <v>3.9356</v>
      </c>
      <c r="E26">
        <v>1.2999999999999999E-2</v>
      </c>
      <c r="F26">
        <v>7.4999999999999997E-2</v>
      </c>
      <c r="G26">
        <f t="shared" si="0"/>
        <v>6.2E-2</v>
      </c>
      <c r="H26">
        <f t="shared" si="1"/>
        <v>1.55E-2</v>
      </c>
      <c r="I26">
        <f t="shared" si="2"/>
        <v>96754057428214.734</v>
      </c>
      <c r="J26">
        <f t="shared" si="3"/>
        <v>4.5177272727272732E-19</v>
      </c>
      <c r="K26">
        <f t="shared" si="4"/>
        <v>8711459905423079</v>
      </c>
      <c r="L26">
        <f t="shared" si="5"/>
        <v>1.1106526171116642</v>
      </c>
    </row>
    <row r="27" spans="3:12">
      <c r="C27">
        <v>420</v>
      </c>
      <c r="D27">
        <v>2.2990000000000004</v>
      </c>
      <c r="E27">
        <v>1.2999999999999999E-2</v>
      </c>
      <c r="F27">
        <v>4.1000000000000002E-2</v>
      </c>
      <c r="G27">
        <f t="shared" si="0"/>
        <v>2.8000000000000004E-2</v>
      </c>
      <c r="H27">
        <f t="shared" si="1"/>
        <v>7.000000000000001E-3</v>
      </c>
      <c r="I27">
        <f t="shared" si="2"/>
        <v>43695380774032.461</v>
      </c>
      <c r="J27">
        <f t="shared" si="3"/>
        <v>4.7328571428571443E-19</v>
      </c>
      <c r="K27">
        <f t="shared" si="4"/>
        <v>4857530938726230</v>
      </c>
      <c r="L27">
        <f t="shared" si="5"/>
        <v>0.89953890824811744</v>
      </c>
    </row>
    <row r="28" spans="3:12">
      <c r="C28">
        <v>400</v>
      </c>
      <c r="D28">
        <v>0.9325</v>
      </c>
      <c r="E28">
        <v>1.2999999999999999E-2</v>
      </c>
      <c r="F28">
        <v>2.1999999999999999E-2</v>
      </c>
      <c r="G28">
        <f t="shared" si="0"/>
        <v>8.9999999999999993E-3</v>
      </c>
      <c r="H28">
        <f t="shared" si="1"/>
        <v>2.2499999999999998E-3</v>
      </c>
      <c r="I28">
        <f t="shared" si="2"/>
        <v>14044943820224.719</v>
      </c>
      <c r="J28">
        <f t="shared" si="3"/>
        <v>4.9695000000000008E-19</v>
      </c>
      <c r="K28">
        <f t="shared" si="4"/>
        <v>1876446322567662.2</v>
      </c>
      <c r="L28">
        <f t="shared" si="5"/>
        <v>0.74848630900382584</v>
      </c>
    </row>
  </sheetData>
  <mergeCells count="2">
    <mergeCell ref="E5:G5"/>
    <mergeCell ref="E7:G7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783C-717F-4FF8-AAF6-BCE8EE7277A8}">
  <dimension ref="D2:P28"/>
  <sheetViews>
    <sheetView topLeftCell="B1" zoomScale="62" workbookViewId="0">
      <selection activeCell="L29" sqref="L29"/>
    </sheetView>
  </sheetViews>
  <sheetFormatPr baseColWidth="10" defaultColWidth="8.83203125" defaultRowHeight="18"/>
  <sheetData>
    <row r="2" spans="4:16">
      <c r="E2" s="1"/>
    </row>
    <row r="3" spans="4:16">
      <c r="D3" t="s">
        <v>21</v>
      </c>
      <c r="E3" s="1"/>
      <c r="O3" t="s">
        <v>22</v>
      </c>
    </row>
    <row r="4" spans="4:16">
      <c r="D4" t="s">
        <v>38</v>
      </c>
      <c r="E4" s="2"/>
      <c r="O4" t="s">
        <v>24</v>
      </c>
      <c r="P4">
        <f>1.602*10^-19</f>
        <v>1.602E-19</v>
      </c>
    </row>
    <row r="5" spans="4:16">
      <c r="E5" s="2"/>
      <c r="F5" s="3" t="s">
        <v>3</v>
      </c>
      <c r="G5" s="3"/>
      <c r="H5" s="3"/>
    </row>
    <row r="6" spans="4:16">
      <c r="D6" t="s">
        <v>25</v>
      </c>
      <c r="E6" s="2" t="s">
        <v>26</v>
      </c>
      <c r="F6" t="s">
        <v>10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</row>
    <row r="7" spans="4:16">
      <c r="D7" t="s">
        <v>34</v>
      </c>
      <c r="E7" s="2" t="s">
        <v>35</v>
      </c>
      <c r="F7" s="3" t="s">
        <v>7</v>
      </c>
      <c r="G7" s="3"/>
      <c r="H7" s="3"/>
      <c r="I7" t="s">
        <v>8</v>
      </c>
      <c r="J7" t="s">
        <v>36</v>
      </c>
      <c r="K7" t="s">
        <v>37</v>
      </c>
      <c r="L7" t="s">
        <v>36</v>
      </c>
    </row>
    <row r="8" spans="4:16">
      <c r="D8">
        <v>800</v>
      </c>
      <c r="E8">
        <v>0.39729999999999999</v>
      </c>
      <c r="F8">
        <v>0</v>
      </c>
      <c r="G8">
        <v>0</v>
      </c>
      <c r="H8">
        <f>G8-F8</f>
        <v>0</v>
      </c>
      <c r="I8">
        <f>H8/4</f>
        <v>0</v>
      </c>
      <c r="J8">
        <f>I8*0.001/(1.602*10^-19)</f>
        <v>0</v>
      </c>
      <c r="K8">
        <f>(6.626*10^-34*3*10^8)/(D8*10^-9)</f>
        <v>2.4847500000000004E-19</v>
      </c>
      <c r="L8">
        <f>E8/(K8*1000)</f>
        <v>1598953617064090.5</v>
      </c>
      <c r="M8">
        <f>100*J8/L8</f>
        <v>0</v>
      </c>
    </row>
    <row r="9" spans="4:16">
      <c r="D9">
        <v>780</v>
      </c>
      <c r="E9">
        <v>0.46639999999999998</v>
      </c>
      <c r="F9">
        <v>0</v>
      </c>
      <c r="G9">
        <v>0</v>
      </c>
      <c r="H9">
        <f t="shared" ref="H9:H28" si="0">G9-F9</f>
        <v>0</v>
      </c>
      <c r="I9">
        <f t="shared" ref="I9:I28" si="1">H9/4</f>
        <v>0</v>
      </c>
      <c r="J9">
        <f t="shared" ref="J9:J28" si="2">I9*0.001/(1.602*10^-19)</f>
        <v>0</v>
      </c>
      <c r="K9">
        <f t="shared" ref="K9:K28" si="3">(6.626*10^-34*3*10^8)/(D9*10^-9)</f>
        <v>2.548461538461539E-19</v>
      </c>
      <c r="L9">
        <f t="shared" ref="L9:L28" si="4">E9/(K9*1000)</f>
        <v>1830123754904919.5</v>
      </c>
      <c r="M9">
        <f t="shared" ref="M9:M28" si="5">100*J9/L9</f>
        <v>0</v>
      </c>
    </row>
    <row r="10" spans="4:16">
      <c r="D10">
        <v>760</v>
      </c>
      <c r="E10">
        <v>0.63540000000000008</v>
      </c>
      <c r="F10">
        <v>0</v>
      </c>
      <c r="G10">
        <v>2E-3</v>
      </c>
      <c r="H10">
        <f t="shared" si="0"/>
        <v>2E-3</v>
      </c>
      <c r="I10">
        <f t="shared" si="1"/>
        <v>5.0000000000000001E-4</v>
      </c>
      <c r="J10">
        <f t="shared" si="2"/>
        <v>3121098626716.604</v>
      </c>
      <c r="K10">
        <f t="shared" si="3"/>
        <v>2.615526315789474E-19</v>
      </c>
      <c r="L10">
        <f t="shared" si="4"/>
        <v>2429338967702988</v>
      </c>
      <c r="M10">
        <f t="shared" si="5"/>
        <v>0.12847522178708948</v>
      </c>
    </row>
    <row r="11" spans="4:16">
      <c r="D11">
        <v>740</v>
      </c>
      <c r="E11">
        <v>0.86430000000000007</v>
      </c>
      <c r="F11">
        <v>0</v>
      </c>
      <c r="G11">
        <v>3.0000000000000001E-3</v>
      </c>
      <c r="H11">
        <f t="shared" si="0"/>
        <v>3.0000000000000001E-3</v>
      </c>
      <c r="I11">
        <f t="shared" si="1"/>
        <v>7.5000000000000002E-4</v>
      </c>
      <c r="J11">
        <f t="shared" si="2"/>
        <v>4681647940074.9062</v>
      </c>
      <c r="K11">
        <f t="shared" si="3"/>
        <v>2.686216216216217E-19</v>
      </c>
      <c r="L11">
        <f t="shared" si="4"/>
        <v>3217536975550859.5</v>
      </c>
      <c r="M11">
        <f t="shared" si="5"/>
        <v>0.14550409134842601</v>
      </c>
    </row>
    <row r="12" spans="4:16">
      <c r="D12">
        <v>720</v>
      </c>
      <c r="E12">
        <v>1.1233</v>
      </c>
      <c r="F12">
        <v>0</v>
      </c>
      <c r="G12">
        <v>5.0000000000000001E-3</v>
      </c>
      <c r="H12">
        <f t="shared" si="0"/>
        <v>5.0000000000000001E-3</v>
      </c>
      <c r="I12">
        <f t="shared" si="1"/>
        <v>1.25E-3</v>
      </c>
      <c r="J12">
        <f t="shared" si="2"/>
        <v>7802746566791.5117</v>
      </c>
      <c r="K12">
        <f t="shared" si="3"/>
        <v>2.7608333333333337E-19</v>
      </c>
      <c r="L12">
        <f t="shared" si="4"/>
        <v>4068699064292181.5</v>
      </c>
      <c r="M12">
        <f t="shared" si="5"/>
        <v>0.19177497385516099</v>
      </c>
    </row>
    <row r="13" spans="4:16">
      <c r="D13">
        <v>700</v>
      </c>
      <c r="E13">
        <v>1.3719999999999999</v>
      </c>
      <c r="F13">
        <v>0</v>
      </c>
      <c r="G13">
        <v>8.9999999999999993E-3</v>
      </c>
      <c r="H13">
        <f t="shared" si="0"/>
        <v>8.9999999999999993E-3</v>
      </c>
      <c r="I13">
        <f t="shared" si="1"/>
        <v>2.2499999999999998E-3</v>
      </c>
      <c r="J13">
        <f t="shared" si="2"/>
        <v>14044943820224.719</v>
      </c>
      <c r="K13">
        <f t="shared" si="3"/>
        <v>2.8397142857142862E-19</v>
      </c>
      <c r="L13">
        <f t="shared" si="4"/>
        <v>4831471979072340</v>
      </c>
      <c r="M13">
        <f t="shared" si="5"/>
        <v>0.29069699422993239</v>
      </c>
    </row>
    <row r="14" spans="4:16">
      <c r="D14">
        <v>680</v>
      </c>
      <c r="E14">
        <v>1.9200999999999999</v>
      </c>
      <c r="F14">
        <v>0</v>
      </c>
      <c r="G14">
        <v>1.7999999999999999E-2</v>
      </c>
      <c r="H14">
        <f t="shared" si="0"/>
        <v>1.7999999999999999E-2</v>
      </c>
      <c r="I14">
        <f t="shared" si="1"/>
        <v>4.4999999999999997E-3</v>
      </c>
      <c r="J14">
        <f t="shared" si="2"/>
        <v>28089887640449.438</v>
      </c>
      <c r="K14">
        <f t="shared" si="3"/>
        <v>2.9232352941176477E-19</v>
      </c>
      <c r="L14">
        <f t="shared" si="4"/>
        <v>6568407284435052</v>
      </c>
      <c r="M14">
        <f t="shared" si="5"/>
        <v>0.42765142939618195</v>
      </c>
    </row>
    <row r="15" spans="4:16">
      <c r="D15">
        <v>660</v>
      </c>
      <c r="E15">
        <v>2.3483999999999998</v>
      </c>
      <c r="F15">
        <v>0</v>
      </c>
      <c r="G15">
        <v>2.5000000000000001E-2</v>
      </c>
      <c r="H15">
        <f t="shared" si="0"/>
        <v>2.5000000000000001E-2</v>
      </c>
      <c r="I15">
        <f t="shared" si="1"/>
        <v>6.2500000000000003E-3</v>
      </c>
      <c r="J15">
        <f t="shared" si="2"/>
        <v>39013732833957.555</v>
      </c>
      <c r="K15">
        <f t="shared" si="3"/>
        <v>3.0118181818181824E-19</v>
      </c>
      <c r="L15">
        <f t="shared" si="4"/>
        <v>7797283428916387</v>
      </c>
      <c r="M15">
        <f t="shared" si="5"/>
        <v>0.50035032315580985</v>
      </c>
    </row>
    <row r="16" spans="4:16">
      <c r="D16">
        <v>640</v>
      </c>
      <c r="E16">
        <v>2.7961</v>
      </c>
      <c r="F16">
        <v>0</v>
      </c>
      <c r="G16">
        <v>0.03</v>
      </c>
      <c r="H16">
        <f t="shared" si="0"/>
        <v>0.03</v>
      </c>
      <c r="I16">
        <f t="shared" si="1"/>
        <v>7.4999999999999997E-3</v>
      </c>
      <c r="J16">
        <f t="shared" si="2"/>
        <v>46816479400749.062</v>
      </c>
      <c r="K16">
        <f t="shared" si="3"/>
        <v>3.1059375000000007E-19</v>
      </c>
      <c r="L16">
        <f t="shared" si="4"/>
        <v>9002434852600863</v>
      </c>
      <c r="M16">
        <f t="shared" si="5"/>
        <v>0.52004241260600148</v>
      </c>
    </row>
    <row r="17" spans="4:13">
      <c r="D17">
        <v>620</v>
      </c>
      <c r="E17">
        <v>3.2141999999999999</v>
      </c>
      <c r="F17">
        <v>0</v>
      </c>
      <c r="G17">
        <v>3.5000000000000003E-2</v>
      </c>
      <c r="H17">
        <f t="shared" si="0"/>
        <v>3.5000000000000003E-2</v>
      </c>
      <c r="I17">
        <f t="shared" si="1"/>
        <v>8.7500000000000008E-3</v>
      </c>
      <c r="J17">
        <f t="shared" si="2"/>
        <v>54619225967540.578</v>
      </c>
      <c r="K17">
        <f t="shared" si="3"/>
        <v>3.2061290322580654E-19</v>
      </c>
      <c r="L17">
        <f t="shared" si="4"/>
        <v>1.0025173558708116E+16</v>
      </c>
      <c r="M17">
        <f t="shared" si="5"/>
        <v>0.54482075195692703</v>
      </c>
    </row>
    <row r="18" spans="4:13">
      <c r="D18">
        <v>600</v>
      </c>
      <c r="E18">
        <v>3.6613000000000002</v>
      </c>
      <c r="F18">
        <v>0</v>
      </c>
      <c r="G18">
        <v>3.4000000000000002E-2</v>
      </c>
      <c r="H18">
        <f t="shared" si="0"/>
        <v>3.4000000000000002E-2</v>
      </c>
      <c r="I18">
        <f t="shared" si="1"/>
        <v>8.5000000000000006E-3</v>
      </c>
      <c r="J18">
        <f t="shared" si="2"/>
        <v>53058676654182.281</v>
      </c>
      <c r="K18">
        <f t="shared" si="3"/>
        <v>3.3130000000000002E-19</v>
      </c>
      <c r="L18">
        <f t="shared" si="4"/>
        <v>1.1051313009357078E+16</v>
      </c>
      <c r="M18">
        <f t="shared" si="5"/>
        <v>0.48011197048945975</v>
      </c>
    </row>
    <row r="19" spans="4:13">
      <c r="D19">
        <v>580</v>
      </c>
      <c r="E19">
        <v>4.0587999999999997</v>
      </c>
      <c r="F19">
        <v>0</v>
      </c>
      <c r="G19">
        <v>3.2000000000000001E-2</v>
      </c>
      <c r="H19">
        <f t="shared" si="0"/>
        <v>3.2000000000000001E-2</v>
      </c>
      <c r="I19">
        <f t="shared" si="1"/>
        <v>8.0000000000000002E-3</v>
      </c>
      <c r="J19">
        <f t="shared" si="2"/>
        <v>49937578027465.664</v>
      </c>
      <c r="K19">
        <f t="shared" si="3"/>
        <v>3.4272413793103452E-19</v>
      </c>
      <c r="L19">
        <f t="shared" si="4"/>
        <v>1.1842760841130896E+16</v>
      </c>
      <c r="M19">
        <f t="shared" si="5"/>
        <v>0.4216717596291254</v>
      </c>
    </row>
    <row r="20" spans="4:13">
      <c r="D20">
        <v>560</v>
      </c>
      <c r="E20">
        <v>4.3068999999999997</v>
      </c>
      <c r="F20">
        <v>0</v>
      </c>
      <c r="G20">
        <v>0.03</v>
      </c>
      <c r="H20">
        <f t="shared" si="0"/>
        <v>0.03</v>
      </c>
      <c r="I20">
        <f t="shared" si="1"/>
        <v>7.4999999999999997E-3</v>
      </c>
      <c r="J20">
        <f t="shared" si="2"/>
        <v>46816479400749.062</v>
      </c>
      <c r="K20">
        <f t="shared" si="3"/>
        <v>3.5496428571428577E-19</v>
      </c>
      <c r="L20">
        <f t="shared" si="4"/>
        <v>1.213333333333333E+16</v>
      </c>
      <c r="M20">
        <f t="shared" si="5"/>
        <v>0.38585010495122862</v>
      </c>
    </row>
    <row r="21" spans="4:13">
      <c r="D21">
        <v>540</v>
      </c>
      <c r="E21">
        <v>4.5739999999999998</v>
      </c>
      <c r="F21">
        <v>0</v>
      </c>
      <c r="G21">
        <v>2.7E-2</v>
      </c>
      <c r="H21">
        <f t="shared" si="0"/>
        <v>2.7E-2</v>
      </c>
      <c r="I21">
        <f t="shared" si="1"/>
        <v>6.7499999999999999E-3</v>
      </c>
      <c r="J21">
        <f t="shared" si="2"/>
        <v>42134831460674.156</v>
      </c>
      <c r="K21">
        <f t="shared" si="3"/>
        <v>3.6811111111111119E-19</v>
      </c>
      <c r="L21">
        <f t="shared" si="4"/>
        <v>1.2425596136432234E+16</v>
      </c>
      <c r="M21">
        <f t="shared" si="5"/>
        <v>0.33909706220962327</v>
      </c>
    </row>
    <row r="22" spans="4:13">
      <c r="D22">
        <v>520</v>
      </c>
      <c r="E22">
        <v>4.9415000000000004</v>
      </c>
      <c r="F22">
        <v>0</v>
      </c>
      <c r="G22">
        <v>2.5999999999999999E-2</v>
      </c>
      <c r="H22">
        <f t="shared" si="0"/>
        <v>2.5999999999999999E-2</v>
      </c>
      <c r="I22">
        <f t="shared" si="1"/>
        <v>6.4999999999999997E-3</v>
      </c>
      <c r="J22">
        <f t="shared" si="2"/>
        <v>40574282147315.852</v>
      </c>
      <c r="K22">
        <f t="shared" si="3"/>
        <v>3.8226923076923087E-19</v>
      </c>
      <c r="L22">
        <f t="shared" si="4"/>
        <v>1.2926753194486364E+16</v>
      </c>
      <c r="M22">
        <f t="shared" si="5"/>
        <v>0.31387836943171438</v>
      </c>
    </row>
    <row r="23" spans="4:13">
      <c r="D23">
        <v>500</v>
      </c>
      <c r="E23">
        <v>5.2690999999999999</v>
      </c>
      <c r="F23">
        <v>0</v>
      </c>
      <c r="G23">
        <v>2.3E-2</v>
      </c>
      <c r="H23">
        <f t="shared" si="0"/>
        <v>2.3E-2</v>
      </c>
      <c r="I23">
        <f t="shared" si="1"/>
        <v>5.7499999999999999E-3</v>
      </c>
      <c r="J23">
        <f t="shared" si="2"/>
        <v>35892634207240.953</v>
      </c>
      <c r="K23">
        <f t="shared" si="3"/>
        <v>3.9756000000000003E-19</v>
      </c>
      <c r="L23">
        <f t="shared" si="4"/>
        <v>1.3253596941342186E+16</v>
      </c>
      <c r="M23">
        <f t="shared" si="5"/>
        <v>0.27081428812189395</v>
      </c>
    </row>
    <row r="24" spans="4:13">
      <c r="D24">
        <v>480</v>
      </c>
      <c r="E24">
        <v>5.4962</v>
      </c>
      <c r="F24">
        <v>0</v>
      </c>
      <c r="G24">
        <v>1.7000000000000001E-2</v>
      </c>
      <c r="H24">
        <f t="shared" si="0"/>
        <v>1.7000000000000001E-2</v>
      </c>
      <c r="I24">
        <f t="shared" si="1"/>
        <v>4.2500000000000003E-3</v>
      </c>
      <c r="J24">
        <f t="shared" si="2"/>
        <v>26529338327091.141</v>
      </c>
      <c r="K24">
        <f t="shared" si="3"/>
        <v>4.1412500000000005E-19</v>
      </c>
      <c r="L24">
        <f t="shared" si="4"/>
        <v>1.3271838213099908E+16</v>
      </c>
      <c r="M24">
        <f t="shared" si="5"/>
        <v>0.19989196598934936</v>
      </c>
    </row>
    <row r="25" spans="4:13">
      <c r="D25">
        <v>460</v>
      </c>
      <c r="E25">
        <v>5.101</v>
      </c>
      <c r="F25">
        <v>0</v>
      </c>
      <c r="G25">
        <v>1.2E-2</v>
      </c>
      <c r="H25">
        <f t="shared" si="0"/>
        <v>1.2E-2</v>
      </c>
      <c r="I25">
        <f t="shared" si="1"/>
        <v>3.0000000000000001E-3</v>
      </c>
      <c r="J25">
        <f t="shared" si="2"/>
        <v>18726591760299.625</v>
      </c>
      <c r="K25">
        <f t="shared" si="3"/>
        <v>4.3213043478260877E-19</v>
      </c>
      <c r="L25">
        <f t="shared" si="4"/>
        <v>1.1804306268236238E+16</v>
      </c>
      <c r="M25">
        <f t="shared" si="5"/>
        <v>0.15864203566702012</v>
      </c>
    </row>
    <row r="26" spans="4:13">
      <c r="D26">
        <v>440</v>
      </c>
      <c r="E26">
        <v>3.9356</v>
      </c>
      <c r="F26">
        <v>0</v>
      </c>
      <c r="G26">
        <v>3.0000000000000001E-3</v>
      </c>
      <c r="H26">
        <f t="shared" si="0"/>
        <v>3.0000000000000001E-3</v>
      </c>
      <c r="I26">
        <f t="shared" si="1"/>
        <v>7.5000000000000002E-4</v>
      </c>
      <c r="J26">
        <f t="shared" si="2"/>
        <v>4681647940074.9062</v>
      </c>
      <c r="K26">
        <f t="shared" si="3"/>
        <v>4.5177272727272732E-19</v>
      </c>
      <c r="L26">
        <f t="shared" si="4"/>
        <v>8711459905423079</v>
      </c>
      <c r="M26">
        <f t="shared" si="5"/>
        <v>5.3741255666693424E-2</v>
      </c>
    </row>
    <row r="27" spans="4:13">
      <c r="D27">
        <v>420</v>
      </c>
      <c r="E27">
        <v>2.2990000000000004</v>
      </c>
      <c r="F27">
        <v>0</v>
      </c>
      <c r="G27">
        <v>0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4.7328571428571443E-19</v>
      </c>
      <c r="L27">
        <f t="shared" si="4"/>
        <v>4857530938726230</v>
      </c>
      <c r="M27">
        <f t="shared" si="5"/>
        <v>0</v>
      </c>
    </row>
    <row r="28" spans="4:13">
      <c r="D28">
        <v>400</v>
      </c>
      <c r="E28">
        <v>0.9325</v>
      </c>
      <c r="F28">
        <v>0</v>
      </c>
      <c r="G28">
        <v>-3.0000000000000001E-3</v>
      </c>
      <c r="H28">
        <f t="shared" si="0"/>
        <v>-3.0000000000000001E-3</v>
      </c>
      <c r="I28">
        <f t="shared" si="1"/>
        <v>-7.5000000000000002E-4</v>
      </c>
      <c r="J28">
        <f t="shared" si="2"/>
        <v>-4681647940074.9062</v>
      </c>
      <c r="K28">
        <f t="shared" si="3"/>
        <v>4.9695000000000008E-19</v>
      </c>
      <c r="L28">
        <f t="shared" si="4"/>
        <v>1876446322567662.2</v>
      </c>
      <c r="M28">
        <f t="shared" si="5"/>
        <v>-0.24949543633460861</v>
      </c>
    </row>
  </sheetData>
  <mergeCells count="2">
    <mergeCell ref="F5:H5"/>
    <mergeCell ref="F7:H7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3D70-D613-4EA0-BB0A-C5663C9912EA}">
  <dimension ref="C2:O28"/>
  <sheetViews>
    <sheetView zoomScale="109" workbookViewId="0">
      <selection activeCell="N38" sqref="N38"/>
    </sheetView>
  </sheetViews>
  <sheetFormatPr baseColWidth="10" defaultColWidth="8.83203125" defaultRowHeight="18"/>
  <sheetData>
    <row r="2" spans="3:15">
      <c r="D2" s="1"/>
    </row>
    <row r="3" spans="3:15">
      <c r="C3" t="s">
        <v>21</v>
      </c>
      <c r="D3" s="1"/>
      <c r="N3" t="s">
        <v>22</v>
      </c>
    </row>
    <row r="4" spans="3:15">
      <c r="C4" t="s">
        <v>38</v>
      </c>
      <c r="D4" s="2"/>
      <c r="N4" t="s">
        <v>24</v>
      </c>
      <c r="O4">
        <f>1.602*10^-19</f>
        <v>1.602E-19</v>
      </c>
    </row>
    <row r="5" spans="3:15">
      <c r="D5" s="2"/>
      <c r="E5" s="3" t="s">
        <v>3</v>
      </c>
      <c r="F5" s="3"/>
      <c r="G5" s="3"/>
    </row>
    <row r="6" spans="3:15">
      <c r="C6" t="s">
        <v>25</v>
      </c>
      <c r="D6" s="2" t="s">
        <v>26</v>
      </c>
      <c r="E6" t="s">
        <v>10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</row>
    <row r="7" spans="3:15">
      <c r="C7" t="s">
        <v>34</v>
      </c>
      <c r="D7" s="2" t="s">
        <v>35</v>
      </c>
      <c r="E7" s="3" t="s">
        <v>7</v>
      </c>
      <c r="F7" s="3"/>
      <c r="G7" s="3"/>
      <c r="H7" t="s">
        <v>8</v>
      </c>
      <c r="I7" t="s">
        <v>36</v>
      </c>
      <c r="J7" t="s">
        <v>37</v>
      </c>
      <c r="K7" t="s">
        <v>36</v>
      </c>
    </row>
    <row r="8" spans="3:15">
      <c r="C8">
        <v>800</v>
      </c>
      <c r="D8">
        <v>0.39729999999999999</v>
      </c>
      <c r="E8">
        <v>0</v>
      </c>
      <c r="F8">
        <v>0</v>
      </c>
      <c r="G8">
        <f>F8-E8</f>
        <v>0</v>
      </c>
      <c r="H8">
        <f>G8/4</f>
        <v>0</v>
      </c>
      <c r="I8">
        <f>H8*0.001/(1.602*10^-19)</f>
        <v>0</v>
      </c>
      <c r="J8">
        <f>(6.626*10^-34*3*10^8)/(C8*10^-9)</f>
        <v>2.4847500000000004E-19</v>
      </c>
      <c r="K8">
        <f>D8/(J8*1000)</f>
        <v>1598953617064090.5</v>
      </c>
      <c r="L8">
        <f>100*I8/K8</f>
        <v>0</v>
      </c>
    </row>
    <row r="9" spans="3:15">
      <c r="C9">
        <v>780</v>
      </c>
      <c r="D9">
        <v>0.46639999999999998</v>
      </c>
      <c r="E9">
        <v>0</v>
      </c>
      <c r="F9">
        <v>0</v>
      </c>
      <c r="G9">
        <f t="shared" ref="G9:G28" si="0">F9-E9</f>
        <v>0</v>
      </c>
      <c r="H9">
        <f t="shared" ref="H9:H28" si="1">G9/4</f>
        <v>0</v>
      </c>
      <c r="I9">
        <f t="shared" ref="I9:I28" si="2">H9*0.001/(1.602*10^-19)</f>
        <v>0</v>
      </c>
      <c r="J9">
        <f t="shared" ref="J9:J28" si="3">(6.626*10^-34*3*10^8)/(C9*10^-9)</f>
        <v>2.548461538461539E-19</v>
      </c>
      <c r="K9">
        <f t="shared" ref="K9:K28" si="4">D9/(J9*1000)</f>
        <v>1830123754904919.5</v>
      </c>
      <c r="L9">
        <f t="shared" ref="L9:L28" si="5">100*I9/K9</f>
        <v>0</v>
      </c>
    </row>
    <row r="10" spans="3:15">
      <c r="C10">
        <v>760</v>
      </c>
      <c r="D10">
        <v>0.63540000000000008</v>
      </c>
      <c r="E10">
        <v>0</v>
      </c>
      <c r="F10">
        <v>0</v>
      </c>
      <c r="G10">
        <f t="shared" si="0"/>
        <v>0</v>
      </c>
      <c r="H10">
        <f t="shared" si="1"/>
        <v>0</v>
      </c>
      <c r="I10">
        <f t="shared" si="2"/>
        <v>0</v>
      </c>
      <c r="J10">
        <f t="shared" si="3"/>
        <v>2.615526315789474E-19</v>
      </c>
      <c r="K10">
        <f t="shared" si="4"/>
        <v>2429338967702988</v>
      </c>
      <c r="L10">
        <f t="shared" si="5"/>
        <v>0</v>
      </c>
    </row>
    <row r="11" spans="3:15">
      <c r="C11">
        <v>740</v>
      </c>
      <c r="D11">
        <v>0.86430000000000007</v>
      </c>
      <c r="E11">
        <v>0</v>
      </c>
      <c r="F11">
        <v>-1E-3</v>
      </c>
      <c r="G11">
        <f t="shared" si="0"/>
        <v>-1E-3</v>
      </c>
      <c r="H11">
        <f t="shared" si="1"/>
        <v>-2.5000000000000001E-4</v>
      </c>
      <c r="I11">
        <f t="shared" si="2"/>
        <v>-1560549313358.302</v>
      </c>
      <c r="J11">
        <f t="shared" si="3"/>
        <v>2.686216216216217E-19</v>
      </c>
      <c r="K11">
        <f t="shared" si="4"/>
        <v>3217536975550859.5</v>
      </c>
      <c r="L11">
        <f t="shared" si="5"/>
        <v>-4.8501363782808664E-2</v>
      </c>
    </row>
    <row r="12" spans="3:15">
      <c r="C12">
        <v>720</v>
      </c>
      <c r="D12">
        <v>1.1233</v>
      </c>
      <c r="E12">
        <v>0</v>
      </c>
      <c r="F12">
        <v>-1E-3</v>
      </c>
      <c r="G12">
        <f t="shared" si="0"/>
        <v>-1E-3</v>
      </c>
      <c r="H12">
        <f t="shared" si="1"/>
        <v>-2.5000000000000001E-4</v>
      </c>
      <c r="I12">
        <f t="shared" si="2"/>
        <v>-1560549313358.302</v>
      </c>
      <c r="J12">
        <f t="shared" si="3"/>
        <v>2.7608333333333337E-19</v>
      </c>
      <c r="K12">
        <f t="shared" si="4"/>
        <v>4068699064292181.5</v>
      </c>
      <c r="L12">
        <f t="shared" si="5"/>
        <v>-3.8354994771032193E-2</v>
      </c>
    </row>
    <row r="13" spans="3:15">
      <c r="C13">
        <v>700</v>
      </c>
      <c r="D13">
        <v>1.3719999999999999</v>
      </c>
      <c r="E13">
        <v>0</v>
      </c>
      <c r="F13">
        <v>-1E-3</v>
      </c>
      <c r="G13">
        <f t="shared" si="0"/>
        <v>-1E-3</v>
      </c>
      <c r="H13">
        <f t="shared" si="1"/>
        <v>-2.5000000000000001E-4</v>
      </c>
      <c r="I13">
        <f t="shared" si="2"/>
        <v>-1560549313358.302</v>
      </c>
      <c r="J13">
        <f t="shared" si="3"/>
        <v>2.8397142857142862E-19</v>
      </c>
      <c r="K13">
        <f t="shared" si="4"/>
        <v>4831471979072340</v>
      </c>
      <c r="L13">
        <f t="shared" si="5"/>
        <v>-3.2299666025548034E-2</v>
      </c>
    </row>
    <row r="14" spans="3:15">
      <c r="C14">
        <v>680</v>
      </c>
      <c r="D14">
        <v>1.9200999999999999</v>
      </c>
      <c r="E14">
        <v>0</v>
      </c>
      <c r="F14">
        <v>0</v>
      </c>
      <c r="G14">
        <f t="shared" si="0"/>
        <v>0</v>
      </c>
      <c r="H14">
        <f t="shared" si="1"/>
        <v>0</v>
      </c>
      <c r="I14">
        <f t="shared" si="2"/>
        <v>0</v>
      </c>
      <c r="J14">
        <f t="shared" si="3"/>
        <v>2.9232352941176477E-19</v>
      </c>
      <c r="K14">
        <f t="shared" si="4"/>
        <v>6568407284435052</v>
      </c>
      <c r="L14">
        <f t="shared" si="5"/>
        <v>0</v>
      </c>
    </row>
    <row r="15" spans="3:15">
      <c r="C15">
        <v>660</v>
      </c>
      <c r="D15">
        <v>2.3483999999999998</v>
      </c>
      <c r="E15">
        <v>-1E-3</v>
      </c>
      <c r="F15">
        <v>0</v>
      </c>
      <c r="G15">
        <f t="shared" si="0"/>
        <v>1E-3</v>
      </c>
      <c r="H15">
        <f t="shared" si="1"/>
        <v>2.5000000000000001E-4</v>
      </c>
      <c r="I15">
        <f t="shared" si="2"/>
        <v>1560549313358.302</v>
      </c>
      <c r="J15">
        <f t="shared" si="3"/>
        <v>3.0118181818181824E-19</v>
      </c>
      <c r="K15">
        <f t="shared" si="4"/>
        <v>7797283428916387</v>
      </c>
      <c r="L15">
        <f t="shared" si="5"/>
        <v>2.0014012926232391E-2</v>
      </c>
    </row>
    <row r="16" spans="3:15">
      <c r="C16">
        <v>640</v>
      </c>
      <c r="D16">
        <v>2.7961</v>
      </c>
      <c r="E16">
        <v>-1E-3</v>
      </c>
      <c r="F16">
        <v>0</v>
      </c>
      <c r="G16">
        <f t="shared" si="0"/>
        <v>1E-3</v>
      </c>
      <c r="H16">
        <f t="shared" si="1"/>
        <v>2.5000000000000001E-4</v>
      </c>
      <c r="I16">
        <f t="shared" si="2"/>
        <v>1560549313358.302</v>
      </c>
      <c r="J16">
        <f t="shared" si="3"/>
        <v>3.1059375000000007E-19</v>
      </c>
      <c r="K16">
        <f t="shared" si="4"/>
        <v>9002434852600863</v>
      </c>
      <c r="L16">
        <f t="shared" si="5"/>
        <v>1.7334747086866713E-2</v>
      </c>
    </row>
    <row r="17" spans="3:12">
      <c r="C17">
        <v>620</v>
      </c>
      <c r="D17">
        <v>3.2141999999999999</v>
      </c>
      <c r="E17">
        <v>0</v>
      </c>
      <c r="F17">
        <v>0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3.2061290322580654E-19</v>
      </c>
      <c r="K17">
        <f t="shared" si="4"/>
        <v>1.0025173558708116E+16</v>
      </c>
      <c r="L17">
        <f t="shared" si="5"/>
        <v>0</v>
      </c>
    </row>
    <row r="18" spans="3:12">
      <c r="C18">
        <v>600</v>
      </c>
      <c r="D18">
        <v>3.6613000000000002</v>
      </c>
      <c r="E18">
        <v>0</v>
      </c>
      <c r="F18">
        <v>0</v>
      </c>
      <c r="G18">
        <f t="shared" si="0"/>
        <v>0</v>
      </c>
      <c r="H18">
        <f t="shared" si="1"/>
        <v>0</v>
      </c>
      <c r="I18">
        <f t="shared" si="2"/>
        <v>0</v>
      </c>
      <c r="J18">
        <f t="shared" si="3"/>
        <v>3.3130000000000002E-19</v>
      </c>
      <c r="K18">
        <f t="shared" si="4"/>
        <v>1.1051313009357078E+16</v>
      </c>
      <c r="L18">
        <f t="shared" si="5"/>
        <v>0</v>
      </c>
    </row>
    <row r="19" spans="3:12">
      <c r="C19">
        <v>580</v>
      </c>
      <c r="D19">
        <v>4.0587999999999997</v>
      </c>
      <c r="E19">
        <v>0</v>
      </c>
      <c r="F19">
        <v>2E-3</v>
      </c>
      <c r="G19">
        <f t="shared" si="0"/>
        <v>2E-3</v>
      </c>
      <c r="H19">
        <f t="shared" si="1"/>
        <v>5.0000000000000001E-4</v>
      </c>
      <c r="I19">
        <f t="shared" si="2"/>
        <v>3121098626716.604</v>
      </c>
      <c r="J19">
        <f t="shared" si="3"/>
        <v>3.4272413793103452E-19</v>
      </c>
      <c r="K19">
        <f t="shared" si="4"/>
        <v>1.1842760841130896E+16</v>
      </c>
      <c r="L19">
        <f t="shared" si="5"/>
        <v>2.6354484976820337E-2</v>
      </c>
    </row>
    <row r="20" spans="3:12">
      <c r="C20">
        <v>560</v>
      </c>
      <c r="D20">
        <v>4.3068999999999997</v>
      </c>
      <c r="E20">
        <v>0</v>
      </c>
      <c r="F20">
        <v>4.0000000000000001E-3</v>
      </c>
      <c r="G20">
        <f t="shared" si="0"/>
        <v>4.0000000000000001E-3</v>
      </c>
      <c r="H20">
        <f t="shared" si="1"/>
        <v>1E-3</v>
      </c>
      <c r="I20">
        <f t="shared" si="2"/>
        <v>6242197253433.208</v>
      </c>
      <c r="J20">
        <f t="shared" si="3"/>
        <v>3.5496428571428577E-19</v>
      </c>
      <c r="K20">
        <f t="shared" si="4"/>
        <v>1.213333333333333E+16</v>
      </c>
      <c r="L20">
        <f t="shared" si="5"/>
        <v>5.1446680660163814E-2</v>
      </c>
    </row>
    <row r="21" spans="3:12">
      <c r="C21">
        <v>540</v>
      </c>
      <c r="D21">
        <v>4.5739999999999998</v>
      </c>
      <c r="E21">
        <v>-1E-3</v>
      </c>
      <c r="F21">
        <v>8.0000000000000002E-3</v>
      </c>
      <c r="G21">
        <f t="shared" si="0"/>
        <v>9.0000000000000011E-3</v>
      </c>
      <c r="H21">
        <f t="shared" si="1"/>
        <v>2.2500000000000003E-3</v>
      </c>
      <c r="I21">
        <f t="shared" si="2"/>
        <v>14044943820224.723</v>
      </c>
      <c r="J21">
        <f t="shared" si="3"/>
        <v>3.6811111111111119E-19</v>
      </c>
      <c r="K21">
        <f t="shared" si="4"/>
        <v>1.2425596136432234E+16</v>
      </c>
      <c r="L21">
        <f t="shared" si="5"/>
        <v>0.11303235406987445</v>
      </c>
    </row>
    <row r="22" spans="3:12">
      <c r="C22">
        <v>520</v>
      </c>
      <c r="D22">
        <v>4.9415000000000004</v>
      </c>
      <c r="E22">
        <v>-1E-3</v>
      </c>
      <c r="F22">
        <v>1.2999999999999999E-2</v>
      </c>
      <c r="G22">
        <f t="shared" si="0"/>
        <v>1.3999999999999999E-2</v>
      </c>
      <c r="H22">
        <f t="shared" si="1"/>
        <v>3.4999999999999996E-3</v>
      </c>
      <c r="I22">
        <f t="shared" si="2"/>
        <v>21847690387016.227</v>
      </c>
      <c r="J22">
        <f t="shared" si="3"/>
        <v>3.8226923076923087E-19</v>
      </c>
      <c r="K22">
        <f t="shared" si="4"/>
        <v>1.2926753194486364E+16</v>
      </c>
      <c r="L22">
        <f t="shared" si="5"/>
        <v>0.16901142969400007</v>
      </c>
    </row>
    <row r="23" spans="3:12">
      <c r="C23">
        <v>500</v>
      </c>
      <c r="D23">
        <v>5.2690999999999999</v>
      </c>
      <c r="E23">
        <v>0</v>
      </c>
      <c r="F23">
        <v>1.7999999999999999E-2</v>
      </c>
      <c r="G23">
        <f t="shared" si="0"/>
        <v>1.7999999999999999E-2</v>
      </c>
      <c r="H23">
        <f t="shared" si="1"/>
        <v>4.4999999999999997E-3</v>
      </c>
      <c r="I23">
        <f t="shared" si="2"/>
        <v>28089887640449.438</v>
      </c>
      <c r="J23">
        <f t="shared" si="3"/>
        <v>3.9756000000000003E-19</v>
      </c>
      <c r="K23">
        <f t="shared" si="4"/>
        <v>1.3253596941342186E+16</v>
      </c>
      <c r="L23">
        <f t="shared" si="5"/>
        <v>0.21194161679104745</v>
      </c>
    </row>
    <row r="24" spans="3:12">
      <c r="C24">
        <v>480</v>
      </c>
      <c r="D24">
        <v>5.4962</v>
      </c>
      <c r="E24">
        <v>0</v>
      </c>
      <c r="F24">
        <v>2.3E-2</v>
      </c>
      <c r="G24">
        <f t="shared" si="0"/>
        <v>2.3E-2</v>
      </c>
      <c r="H24">
        <f t="shared" si="1"/>
        <v>5.7499999999999999E-3</v>
      </c>
      <c r="I24">
        <f t="shared" si="2"/>
        <v>35892634207240.953</v>
      </c>
      <c r="J24">
        <f t="shared" si="3"/>
        <v>4.1412500000000005E-19</v>
      </c>
      <c r="K24">
        <f t="shared" si="4"/>
        <v>1.3271838213099908E+16</v>
      </c>
      <c r="L24">
        <f t="shared" si="5"/>
        <v>0.27044207163264916</v>
      </c>
    </row>
    <row r="25" spans="3:12">
      <c r="C25">
        <v>460</v>
      </c>
      <c r="D25">
        <v>5.101</v>
      </c>
      <c r="E25">
        <v>0</v>
      </c>
      <c r="F25">
        <v>2.4E-2</v>
      </c>
      <c r="G25">
        <f t="shared" si="0"/>
        <v>2.4E-2</v>
      </c>
      <c r="H25">
        <f t="shared" si="1"/>
        <v>6.0000000000000001E-3</v>
      </c>
      <c r="I25">
        <f t="shared" si="2"/>
        <v>37453183520599.25</v>
      </c>
      <c r="J25">
        <f t="shared" si="3"/>
        <v>4.3213043478260877E-19</v>
      </c>
      <c r="K25">
        <f t="shared" si="4"/>
        <v>1.1804306268236238E+16</v>
      </c>
      <c r="L25">
        <f t="shared" si="5"/>
        <v>0.31728407133404024</v>
      </c>
    </row>
    <row r="26" spans="3:12">
      <c r="C26">
        <v>440</v>
      </c>
      <c r="D26">
        <v>3.9356</v>
      </c>
      <c r="E26">
        <v>0</v>
      </c>
      <c r="F26">
        <v>2.1000000000000001E-2</v>
      </c>
      <c r="G26">
        <f t="shared" si="0"/>
        <v>2.1000000000000001E-2</v>
      </c>
      <c r="H26">
        <f t="shared" si="1"/>
        <v>5.2500000000000003E-3</v>
      </c>
      <c r="I26">
        <f t="shared" si="2"/>
        <v>32771535580524.348</v>
      </c>
      <c r="J26">
        <f t="shared" si="3"/>
        <v>4.5177272727272732E-19</v>
      </c>
      <c r="K26">
        <f t="shared" si="4"/>
        <v>8711459905423079</v>
      </c>
      <c r="L26">
        <f t="shared" si="5"/>
        <v>0.37618878966685404</v>
      </c>
    </row>
    <row r="27" spans="3:12">
      <c r="C27">
        <v>420</v>
      </c>
      <c r="D27">
        <v>2.2990000000000004</v>
      </c>
      <c r="E27">
        <v>0</v>
      </c>
      <c r="F27">
        <v>1.2999999999999999E-2</v>
      </c>
      <c r="G27">
        <f t="shared" si="0"/>
        <v>1.2999999999999999E-2</v>
      </c>
      <c r="H27">
        <f t="shared" si="1"/>
        <v>3.2499999999999999E-3</v>
      </c>
      <c r="I27">
        <f t="shared" si="2"/>
        <v>20287141073657.926</v>
      </c>
      <c r="J27">
        <f t="shared" si="3"/>
        <v>4.7328571428571443E-19</v>
      </c>
      <c r="K27">
        <f t="shared" si="4"/>
        <v>4857530938726230</v>
      </c>
      <c r="L27">
        <f t="shared" si="5"/>
        <v>0.41764306454376876</v>
      </c>
    </row>
    <row r="28" spans="3:12">
      <c r="C28">
        <v>400</v>
      </c>
      <c r="D28">
        <v>0.9325</v>
      </c>
      <c r="E28">
        <v>0</v>
      </c>
      <c r="F28">
        <v>2E-3</v>
      </c>
      <c r="G28">
        <f t="shared" si="0"/>
        <v>2E-3</v>
      </c>
      <c r="H28">
        <f t="shared" si="1"/>
        <v>5.0000000000000001E-4</v>
      </c>
      <c r="I28">
        <f t="shared" si="2"/>
        <v>3121098626716.604</v>
      </c>
      <c r="J28">
        <f t="shared" si="3"/>
        <v>4.9695000000000008E-19</v>
      </c>
      <c r="K28">
        <f t="shared" si="4"/>
        <v>1876446322567662.2</v>
      </c>
      <c r="L28">
        <f t="shared" si="5"/>
        <v>0.16633029088973905</v>
      </c>
    </row>
  </sheetData>
  <mergeCells count="2">
    <mergeCell ref="E5:G5"/>
    <mergeCell ref="E7:G7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194979B929F24F9ED8EDFBA8C2B3C0" ma:contentTypeVersion="9" ma:contentTypeDescription="新しいドキュメントを作成します。" ma:contentTypeScope="" ma:versionID="4921e6eb36121f24b9f142e2a9bbc775">
  <xsd:schema xmlns:xsd="http://www.w3.org/2001/XMLSchema" xmlns:xs="http://www.w3.org/2001/XMLSchema" xmlns:p="http://schemas.microsoft.com/office/2006/metadata/properties" xmlns:ns3="1e96777e-c527-4c3b-bd25-1feec2cdf3c7" targetNamespace="http://schemas.microsoft.com/office/2006/metadata/properties" ma:root="true" ma:fieldsID="6404084e4861f27c71d607caa95136a7" ns3:_="">
    <xsd:import namespace="1e96777e-c527-4c3b-bd25-1feec2cdf3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6777e-c527-4c3b-bd25-1feec2cdf3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255A41-AE11-4C80-AABA-D71914568C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07F8F8-B426-49B7-9B2B-D2F21C8C8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96777e-c527-4c3b-bd25-1feec2cdf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94B43F-F351-438A-B479-852D4B04A4FE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e96777e-c527-4c3b-bd25-1feec2cdf3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J-V特性（エオシンY）</vt:lpstr>
      <vt:lpstr>J-V特性（メチレンブルー）</vt:lpstr>
      <vt:lpstr>J-V特性（色素なし）</vt:lpstr>
      <vt:lpstr>光電流（エオシン</vt:lpstr>
      <vt:lpstr>光電流（メチレンブルー）</vt:lpstr>
      <vt:lpstr>光電流（色素なし）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樹 高島</dc:creator>
  <cp:lastModifiedBy>NAKAMURA Yusaku</cp:lastModifiedBy>
  <dcterms:created xsi:type="dcterms:W3CDTF">2023-12-01T05:45:18Z</dcterms:created>
  <dcterms:modified xsi:type="dcterms:W3CDTF">2023-12-15T13:24:24Z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0x010100C6194979B929F24F9ED8EDFBA8C2B3C0</vt:lpwstr>
  </property>
</Properties>
</file>