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/"/>
    </mc:Choice>
  </mc:AlternateContent>
  <xr:revisionPtr revIDLastSave="0" documentId="13_ncr:1_{A40D2EE6-E10D-7943-AF89-385A425B9A08}" xr6:coauthVersionLast="47" xr6:coauthVersionMax="47" xr10:uidLastSave="{00000000-0000-0000-0000-000000000000}"/>
  <bookViews>
    <workbookView xWindow="0" yWindow="760" windowWidth="25620" windowHeight="21580" activeTab="1" xr2:uid="{97DD6811-FC87-443C-B4B9-18AB1A26009D}"/>
  </bookViews>
  <sheets>
    <sheet name="J-V特性" sheetId="1" r:id="rId1"/>
    <sheet name="光電流（メオシンY）" sheetId="2" r:id="rId2"/>
    <sheet name="光電量（メチレンブルー）" sheetId="3" r:id="rId3"/>
    <sheet name="光電流（色素なし）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" i="1" l="1"/>
  <c r="L41" i="1"/>
  <c r="C41" i="1"/>
  <c r="T38" i="1"/>
  <c r="T35" i="1"/>
  <c r="T34" i="1"/>
  <c r="T36" i="1"/>
  <c r="L38" i="1"/>
  <c r="C35" i="1"/>
  <c r="C36" i="1" s="1"/>
  <c r="C39" i="1" s="1"/>
  <c r="L35" i="1"/>
  <c r="L36" i="1" s="1"/>
  <c r="L34" i="1"/>
  <c r="C38" i="1"/>
  <c r="C34" i="1"/>
  <c r="T39" i="1" l="1"/>
  <c r="L39" i="1"/>
  <c r="S7" i="1" l="1"/>
  <c r="S8" i="1"/>
  <c r="S9" i="1"/>
  <c r="S6" i="1"/>
  <c r="M7" i="1"/>
  <c r="M8" i="1"/>
  <c r="M9" i="1"/>
  <c r="M10" i="1"/>
  <c r="M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H6" i="4"/>
  <c r="E6" i="4"/>
  <c r="H6" i="3"/>
  <c r="E6" i="3"/>
  <c r="F6" i="2" l="1"/>
  <c r="G6" i="2" s="1"/>
  <c r="J6" i="2"/>
  <c r="R7" i="1"/>
  <c r="R8" i="1"/>
  <c r="R9" i="1"/>
  <c r="Q7" i="1"/>
  <c r="Q8" i="1"/>
  <c r="Q9" i="1"/>
  <c r="R6" i="1"/>
  <c r="Q6" i="1"/>
  <c r="L7" i="1"/>
  <c r="L8" i="1"/>
  <c r="K7" i="1"/>
  <c r="K8" i="1"/>
  <c r="L9" i="1"/>
  <c r="L10" i="1"/>
  <c r="L6" i="1"/>
  <c r="K9" i="1"/>
  <c r="K10" i="1"/>
  <c r="K6" i="1"/>
  <c r="F16" i="1"/>
  <c r="E16" i="1"/>
  <c r="F15" i="1"/>
  <c r="E15" i="1"/>
  <c r="F13" i="1"/>
  <c r="E13" i="1"/>
  <c r="F14" i="1"/>
  <c r="E14" i="1"/>
  <c r="F17" i="1"/>
  <c r="E17" i="1"/>
  <c r="F7" i="1"/>
  <c r="F8" i="1"/>
  <c r="F9" i="1"/>
  <c r="F10" i="1"/>
  <c r="F11" i="1"/>
  <c r="F12" i="1"/>
  <c r="F18" i="1"/>
  <c r="F19" i="1"/>
  <c r="F20" i="1"/>
  <c r="F6" i="1"/>
  <c r="E7" i="1"/>
  <c r="E8" i="1"/>
  <c r="E9" i="1"/>
  <c r="E10" i="1"/>
  <c r="E11" i="1"/>
  <c r="E12" i="1"/>
  <c r="E18" i="1"/>
  <c r="E19" i="1"/>
  <c r="E20" i="1"/>
  <c r="E6" i="1"/>
</calcChain>
</file>

<file path=xl/sharedStrings.xml><?xml version="1.0" encoding="utf-8"?>
<sst xmlns="http://schemas.openxmlformats.org/spreadsheetml/2006/main" count="86" uniqueCount="29">
  <si>
    <t>J-V特性</t>
    <rPh sb="3" eb="5">
      <t>トクセイ</t>
    </rPh>
    <phoneticPr fontId="1"/>
  </si>
  <si>
    <t>電位差 （電圧）[mV]</t>
  </si>
  <si>
    <t>電流 [mA]</t>
  </si>
  <si>
    <t>暗時</t>
  </si>
  <si>
    <t>光照射時</t>
  </si>
  <si>
    <t>光照射時</t>
    <phoneticPr fontId="1"/>
  </si>
  <si>
    <t>電流密度 [mA cm-2 ]</t>
  </si>
  <si>
    <t>メチオンY</t>
    <phoneticPr fontId="1"/>
  </si>
  <si>
    <t>メチレンブルー</t>
    <phoneticPr fontId="1"/>
  </si>
  <si>
    <t>色素なし</t>
    <rPh sb="0" eb="2">
      <t>シキソ</t>
    </rPh>
    <phoneticPr fontId="1"/>
  </si>
  <si>
    <t>光電流作用スペクトル</t>
  </si>
  <si>
    <t>波長 [nm]</t>
  </si>
  <si>
    <t>光照射時-暗時</t>
  </si>
  <si>
    <t>単位時間あたり回路 を流れた光電子数密 度 [個 cm-2 sec-1 ]</t>
  </si>
  <si>
    <t>単位時間あたり入 射した光子数密度 [個 cm-2 sec-1 ]</t>
  </si>
  <si>
    <t>IPCE [%]</t>
  </si>
  <si>
    <t>メオシンY</t>
    <phoneticPr fontId="1"/>
  </si>
  <si>
    <t>電子密度</t>
    <rPh sb="0" eb="4">
      <t>デンシミツド</t>
    </rPh>
    <phoneticPr fontId="1"/>
  </si>
  <si>
    <t>光強度</t>
    <rPh sb="0" eb="1">
      <t>ヒカリ</t>
    </rPh>
    <rPh sb="1" eb="3">
      <t>キョウド</t>
    </rPh>
    <phoneticPr fontId="2"/>
  </si>
  <si>
    <r>
      <t>mW cm</t>
    </r>
    <r>
      <rPr>
        <vertAlign val="superscript"/>
        <sz val="11"/>
        <color theme="1"/>
        <rFont val="游ゴシック"/>
        <family val="3"/>
        <charset val="128"/>
        <scheme val="minor"/>
      </rPr>
      <t>-2</t>
    </r>
    <phoneticPr fontId="2"/>
  </si>
  <si>
    <t>V</t>
    <phoneticPr fontId="1"/>
  </si>
  <si>
    <t>Vmax</t>
    <phoneticPr fontId="1"/>
  </si>
  <si>
    <t>Jmax</t>
    <phoneticPr fontId="1"/>
  </si>
  <si>
    <t>J*V</t>
    <phoneticPr fontId="1"/>
  </si>
  <si>
    <t>Jsc</t>
    <phoneticPr fontId="1"/>
  </si>
  <si>
    <t>Voc</t>
    <phoneticPr fontId="1"/>
  </si>
  <si>
    <t>FF</t>
    <phoneticPr fontId="1"/>
  </si>
  <si>
    <t>Winc</t>
    <phoneticPr fontId="1"/>
  </si>
  <si>
    <t>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</si>
</sst>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839457567804024E-2"/>
                  <c:y val="-0.418171478565179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venir Book" panose="02000503020000020003" pitchFamily="2" charset="0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'J-V特性'!$F$6:$F$20</c:f>
              <c:numCache>
                <c:formatCode>General</c:formatCode>
                <c:ptCount val="15"/>
                <c:pt idx="0">
                  <c:v>0.16675000000000001</c:v>
                </c:pt>
                <c:pt idx="1">
                  <c:v>0.14124999999999999</c:v>
                </c:pt>
                <c:pt idx="2">
                  <c:v>0.11175</c:v>
                </c:pt>
                <c:pt idx="3">
                  <c:v>8.1750000000000003E-2</c:v>
                </c:pt>
                <c:pt idx="4">
                  <c:v>5.6250000000000001E-2</c:v>
                </c:pt>
                <c:pt idx="5">
                  <c:v>2.75E-2</c:v>
                </c:pt>
                <c:pt idx="6">
                  <c:v>1.4500000000000001E-2</c:v>
                </c:pt>
                <c:pt idx="7">
                  <c:v>1.175E-2</c:v>
                </c:pt>
                <c:pt idx="8">
                  <c:v>1.0500000000000001E-2</c:v>
                </c:pt>
                <c:pt idx="9">
                  <c:v>0.01</c:v>
                </c:pt>
                <c:pt idx="10">
                  <c:v>8.2500000000000004E-3</c:v>
                </c:pt>
                <c:pt idx="11">
                  <c:v>6.2500000000000003E-3</c:v>
                </c:pt>
                <c:pt idx="12">
                  <c:v>5.2500000000000003E-3</c:v>
                </c:pt>
                <c:pt idx="13">
                  <c:v>2.5000000000000001E-3</c:v>
                </c:pt>
                <c:pt idx="14">
                  <c:v>0</c:v>
                </c:pt>
              </c:numCache>
            </c:numRef>
          </c:xVal>
          <c:yVal>
            <c:numRef>
              <c:f>'J-V特性'!$G$6:$G$20</c:f>
              <c:numCache>
                <c:formatCode>General</c:formatCode>
                <c:ptCount val="1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0.30499999999999999</c:v>
                </c:pt>
                <c:pt idx="8">
                  <c:v>0.31</c:v>
                </c:pt>
                <c:pt idx="9">
                  <c:v>0.315</c:v>
                </c:pt>
                <c:pt idx="10">
                  <c:v>0.32</c:v>
                </c:pt>
                <c:pt idx="11">
                  <c:v>0.32500000000000001</c:v>
                </c:pt>
                <c:pt idx="12">
                  <c:v>0.33</c:v>
                </c:pt>
                <c:pt idx="13">
                  <c:v>0.33500000000000002</c:v>
                </c:pt>
                <c:pt idx="14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C-4F45-8E66-5B269B869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894735"/>
        <c:axId val="433424671"/>
      </c:scatterChart>
      <c:valAx>
        <c:axId val="194289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電圧</a:t>
                </a:r>
                <a:r>
                  <a:rPr lang="en-US"/>
                  <a:t> [ V 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433424671"/>
        <c:crosses val="autoZero"/>
        <c:crossBetween val="midCat"/>
      </c:valAx>
      <c:valAx>
        <c:axId val="433424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電流密度</a:t>
                </a:r>
                <a:r>
                  <a:rPr lang="en-US"/>
                  <a:t>  [ mA/cm^2 ]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94289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839457567804024E-2"/>
                  <c:y val="-0.418171478565179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venir Book" panose="02000503020000020003" pitchFamily="2" charset="0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'J-V特性'!$L$6:$L$10</c:f>
              <c:numCache>
                <c:formatCode>General</c:formatCode>
                <c:ptCount val="5"/>
                <c:pt idx="0">
                  <c:v>1.15E-2</c:v>
                </c:pt>
                <c:pt idx="1">
                  <c:v>8.5000000000000006E-3</c:v>
                </c:pt>
                <c:pt idx="2">
                  <c:v>6.2500000000000003E-3</c:v>
                </c:pt>
                <c:pt idx="3">
                  <c:v>2.5000000000000001E-3</c:v>
                </c:pt>
                <c:pt idx="4">
                  <c:v>1.75E-3</c:v>
                </c:pt>
              </c:numCache>
            </c:numRef>
          </c:xVal>
          <c:yVal>
            <c:numRef>
              <c:f>'J-V特性'!$M$6:$M$10</c:f>
              <c:numCache>
                <c:formatCode>General</c:formatCode>
                <c:ptCount val="5"/>
                <c:pt idx="0">
                  <c:v>0</c:v>
                </c:pt>
                <c:pt idx="1">
                  <c:v>2.5000000000000001E-2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8B-CB48-BDFD-811249722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894735"/>
        <c:axId val="433424671"/>
      </c:scatterChart>
      <c:valAx>
        <c:axId val="194289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電圧</a:t>
                </a:r>
                <a:r>
                  <a:rPr lang="en-US"/>
                  <a:t> [ V 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433424671"/>
        <c:crosses val="autoZero"/>
        <c:crossBetween val="midCat"/>
      </c:valAx>
      <c:valAx>
        <c:axId val="433424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電流密度</a:t>
                </a:r>
                <a:r>
                  <a:rPr lang="en-US"/>
                  <a:t>  [ mA/cm^2 ]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94289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839457567804024E-2"/>
                  <c:y val="-0.418171478565179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venir Book" panose="02000503020000020003" pitchFamily="2" charset="0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'J-V特性'!$R$6:$R$9</c:f>
              <c:numCache>
                <c:formatCode>General</c:formatCode>
                <c:ptCount val="4"/>
                <c:pt idx="0">
                  <c:v>9.2499999999999995E-3</c:v>
                </c:pt>
                <c:pt idx="1">
                  <c:v>6.2500000000000003E-3</c:v>
                </c:pt>
                <c:pt idx="2">
                  <c:v>3.0000000000000001E-3</c:v>
                </c:pt>
                <c:pt idx="3">
                  <c:v>0</c:v>
                </c:pt>
              </c:numCache>
            </c:numRef>
          </c:xVal>
          <c:yVal>
            <c:numRef>
              <c:f>'J-V特性'!$S$6:$S$9</c:f>
              <c:numCache>
                <c:formatCode>General</c:formatCode>
                <c:ptCount val="4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3B-124B-983F-C74DBDC30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894735"/>
        <c:axId val="433424671"/>
      </c:scatterChart>
      <c:valAx>
        <c:axId val="194289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電圧</a:t>
                </a:r>
                <a:r>
                  <a:rPr lang="en-US"/>
                  <a:t> [ V 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433424671"/>
        <c:crosses val="autoZero"/>
        <c:crossBetween val="midCat"/>
      </c:valAx>
      <c:valAx>
        <c:axId val="433424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電流密度</a:t>
                </a:r>
                <a:r>
                  <a:rPr lang="en-US"/>
                  <a:t>  [ mA/cm^2 ]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94289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>
              <a:noFill/>
            </a:ln>
          </c:spPr>
          <c:xVal>
            <c:numRef>
              <c:f>'J-V特性'!$F$6:$F$20</c:f>
              <c:numCache>
                <c:formatCode>General</c:formatCode>
                <c:ptCount val="15"/>
                <c:pt idx="0">
                  <c:v>0.16675000000000001</c:v>
                </c:pt>
                <c:pt idx="1">
                  <c:v>0.14124999999999999</c:v>
                </c:pt>
                <c:pt idx="2">
                  <c:v>0.11175</c:v>
                </c:pt>
                <c:pt idx="3">
                  <c:v>8.1750000000000003E-2</c:v>
                </c:pt>
                <c:pt idx="4">
                  <c:v>5.6250000000000001E-2</c:v>
                </c:pt>
                <c:pt idx="5">
                  <c:v>2.75E-2</c:v>
                </c:pt>
                <c:pt idx="6">
                  <c:v>1.4500000000000001E-2</c:v>
                </c:pt>
                <c:pt idx="7">
                  <c:v>1.175E-2</c:v>
                </c:pt>
                <c:pt idx="8">
                  <c:v>1.0500000000000001E-2</c:v>
                </c:pt>
                <c:pt idx="9">
                  <c:v>0.01</c:v>
                </c:pt>
                <c:pt idx="10">
                  <c:v>8.2500000000000004E-3</c:v>
                </c:pt>
                <c:pt idx="11">
                  <c:v>6.2500000000000003E-3</c:v>
                </c:pt>
                <c:pt idx="12">
                  <c:v>5.2500000000000003E-3</c:v>
                </c:pt>
                <c:pt idx="13">
                  <c:v>2.5000000000000001E-3</c:v>
                </c:pt>
                <c:pt idx="14">
                  <c:v>0</c:v>
                </c:pt>
              </c:numCache>
            </c:numRef>
          </c:xVal>
          <c:yVal>
            <c:numRef>
              <c:f>'J-V特性'!$G$6:$G$20</c:f>
              <c:numCache>
                <c:formatCode>General</c:formatCode>
                <c:ptCount val="1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0.30499999999999999</c:v>
                </c:pt>
                <c:pt idx="8">
                  <c:v>0.31</c:v>
                </c:pt>
                <c:pt idx="9">
                  <c:v>0.315</c:v>
                </c:pt>
                <c:pt idx="10">
                  <c:v>0.32</c:v>
                </c:pt>
                <c:pt idx="11">
                  <c:v>0.32500000000000001</c:v>
                </c:pt>
                <c:pt idx="12">
                  <c:v>0.33</c:v>
                </c:pt>
                <c:pt idx="13">
                  <c:v>0.33500000000000002</c:v>
                </c:pt>
                <c:pt idx="14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D7C-4C4C-9389-6139E3E8CF82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xVal>
            <c:numRef>
              <c:f>'J-V特性'!$L$6:$L$10</c:f>
              <c:numCache>
                <c:formatCode>General</c:formatCode>
                <c:ptCount val="5"/>
                <c:pt idx="0">
                  <c:v>1.15E-2</c:v>
                </c:pt>
                <c:pt idx="1">
                  <c:v>8.5000000000000006E-3</c:v>
                </c:pt>
                <c:pt idx="2">
                  <c:v>6.2500000000000003E-3</c:v>
                </c:pt>
                <c:pt idx="3">
                  <c:v>2.5000000000000001E-3</c:v>
                </c:pt>
                <c:pt idx="4">
                  <c:v>1.75E-3</c:v>
                </c:pt>
              </c:numCache>
            </c:numRef>
          </c:xVal>
          <c:yVal>
            <c:numRef>
              <c:f>'J-V特性'!$M$6:$M$10</c:f>
              <c:numCache>
                <c:formatCode>General</c:formatCode>
                <c:ptCount val="5"/>
                <c:pt idx="0">
                  <c:v>0</c:v>
                </c:pt>
                <c:pt idx="1">
                  <c:v>2.5000000000000001E-2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D7C-4C4C-9389-6139E3E8CF82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'J-V特性'!$R$6:$R$9</c:f>
              <c:numCache>
                <c:formatCode>General</c:formatCode>
                <c:ptCount val="4"/>
                <c:pt idx="0">
                  <c:v>9.2499999999999995E-3</c:v>
                </c:pt>
                <c:pt idx="1">
                  <c:v>6.2500000000000003E-3</c:v>
                </c:pt>
                <c:pt idx="2">
                  <c:v>3.0000000000000001E-3</c:v>
                </c:pt>
                <c:pt idx="3">
                  <c:v>0</c:v>
                </c:pt>
              </c:numCache>
            </c:numRef>
          </c:xVal>
          <c:yVal>
            <c:numRef>
              <c:f>'J-V特性'!$S$6:$S$9</c:f>
              <c:numCache>
                <c:formatCode>General</c:formatCode>
                <c:ptCount val="4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D7C-4C4C-9389-6139E3E8C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894735"/>
        <c:axId val="433424671"/>
      </c:scatterChart>
      <c:valAx>
        <c:axId val="194289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電圧</a:t>
                </a:r>
                <a:r>
                  <a:rPr lang="en-US"/>
                  <a:t> [ V 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433424671"/>
        <c:crosses val="autoZero"/>
        <c:crossBetween val="midCat"/>
      </c:valAx>
      <c:valAx>
        <c:axId val="433424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電流密度</a:t>
                </a:r>
                <a:r>
                  <a:rPr lang="en-US"/>
                  <a:t>  [ mA/cm^2 ]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194289473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655320</xdr:colOff>
      <xdr:row>20</xdr:row>
      <xdr:rowOff>116840</xdr:rowOff>
    </xdr:from>
    <xdr:to>
      <xdr:col>7</xdr:col>
      <xdr:colOff>533400</xdr:colOff>
      <xdr:row>32</xdr:row>
      <xdr:rowOff>55880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129D783-6A40-EA9F-F141-C7175CDA0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436880</xdr:colOff>
      <xdr:row>20</xdr:row>
      <xdr:rowOff>132080</xdr:rowOff>
    </xdr:from>
    <xdr:to>
      <xdr:col>15</xdr:col>
      <xdr:colOff>314960</xdr:colOff>
      <xdr:row>32</xdr:row>
      <xdr:rowOff>71120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3F5CE83-A484-9745-BF70-A6FCEF434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111760</xdr:colOff>
      <xdr:row>20</xdr:row>
      <xdr:rowOff>142240</xdr:rowOff>
    </xdr:from>
    <xdr:to>
      <xdr:col>22</xdr:col>
      <xdr:colOff>660400</xdr:colOff>
      <xdr:row>32</xdr:row>
      <xdr:rowOff>81280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3A586D6-B0BC-D348-96D0-B775294B9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47</xdr:row>
      <xdr:rowOff>0</xdr:rowOff>
    </xdr:from>
    <xdr:to>
      <xdr:col>13</xdr:col>
      <xdr:colOff>611858</xdr:colOff>
      <xdr:row>58</xdr:row>
      <xdr:rowOff>164818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330F457-034F-2D46-AB87-B329C3702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2E5C-E59F-4BF7-89DA-91E9C610F2A3}">
  <dimension ref="B2:T41"/>
  <sheetViews>
    <sheetView topLeftCell="I21" zoomScale="125" workbookViewId="0">
      <selection activeCell="L41" sqref="L41"/>
    </sheetView>
  </sheetViews>
  <sheetFormatPr baseColWidth="10" defaultColWidth="8.83203125" defaultRowHeight="18"/>
  <cols>
    <col min="3" max="3" width="9.6640625" bestFit="1" customWidth="1"/>
    <col min="12" max="12" width="13.6640625" bestFit="1" customWidth="1"/>
    <col min="20" max="20" width="13.6640625" bestFit="1" customWidth="1"/>
  </cols>
  <sheetData>
    <row r="2" spans="2:19">
      <c r="B2" t="s">
        <v>0</v>
      </c>
    </row>
    <row r="3" spans="2:19">
      <c r="B3" t="s">
        <v>7</v>
      </c>
      <c r="H3" t="s">
        <v>8</v>
      </c>
      <c r="N3" t="s">
        <v>9</v>
      </c>
    </row>
    <row r="4" spans="2:19">
      <c r="B4" t="s">
        <v>1</v>
      </c>
      <c r="C4" t="s">
        <v>2</v>
      </c>
      <c r="E4" t="s">
        <v>6</v>
      </c>
      <c r="H4" t="s">
        <v>1</v>
      </c>
      <c r="I4" t="s">
        <v>2</v>
      </c>
      <c r="K4" t="s">
        <v>6</v>
      </c>
      <c r="N4" t="s">
        <v>1</v>
      </c>
      <c r="O4" t="s">
        <v>2</v>
      </c>
      <c r="Q4" t="s">
        <v>6</v>
      </c>
    </row>
    <row r="5" spans="2:19">
      <c r="C5" t="s">
        <v>3</v>
      </c>
      <c r="D5" t="s">
        <v>5</v>
      </c>
      <c r="E5" t="s">
        <v>3</v>
      </c>
      <c r="F5" t="s">
        <v>5</v>
      </c>
      <c r="G5" t="s">
        <v>20</v>
      </c>
      <c r="I5" t="s">
        <v>3</v>
      </c>
      <c r="J5" t="s">
        <v>5</v>
      </c>
      <c r="K5" t="s">
        <v>3</v>
      </c>
      <c r="L5" t="s">
        <v>5</v>
      </c>
      <c r="M5" t="s">
        <v>20</v>
      </c>
      <c r="O5" t="s">
        <v>3</v>
      </c>
      <c r="P5" t="s">
        <v>5</v>
      </c>
      <c r="Q5" t="s">
        <v>3</v>
      </c>
      <c r="R5" t="s">
        <v>5</v>
      </c>
      <c r="S5" t="s">
        <v>20</v>
      </c>
    </row>
    <row r="6" spans="2:19">
      <c r="B6">
        <v>0</v>
      </c>
      <c r="C6">
        <v>1E-3</v>
      </c>
      <c r="D6">
        <v>0.66700000000000004</v>
      </c>
      <c r="E6">
        <f>C6/4</f>
        <v>2.5000000000000001E-4</v>
      </c>
      <c r="F6">
        <f>D6/4</f>
        <v>0.16675000000000001</v>
      </c>
      <c r="G6">
        <f>B6/-1000</f>
        <v>0</v>
      </c>
      <c r="H6">
        <v>0</v>
      </c>
      <c r="I6">
        <v>-1E-3</v>
      </c>
      <c r="J6">
        <v>4.5999999999999999E-2</v>
      </c>
      <c r="K6">
        <f>I6/4</f>
        <v>-2.5000000000000001E-4</v>
      </c>
      <c r="L6">
        <f>J6/4</f>
        <v>1.15E-2</v>
      </c>
      <c r="M6">
        <f>H6/-1000</f>
        <v>0</v>
      </c>
      <c r="N6">
        <v>0</v>
      </c>
      <c r="O6">
        <v>-1E-3</v>
      </c>
      <c r="P6">
        <v>3.6999999999999998E-2</v>
      </c>
      <c r="Q6">
        <f>O6/4</f>
        <v>-2.5000000000000001E-4</v>
      </c>
      <c r="R6">
        <f>P6/4</f>
        <v>9.2499999999999995E-3</v>
      </c>
      <c r="S6">
        <f>N6/-1000</f>
        <v>0</v>
      </c>
    </row>
    <row r="7" spans="2:19">
      <c r="B7">
        <v>-50</v>
      </c>
      <c r="C7">
        <v>0</v>
      </c>
      <c r="D7">
        <v>0.56499999999999995</v>
      </c>
      <c r="E7">
        <f t="shared" ref="E7:E20" si="0">C7/4</f>
        <v>0</v>
      </c>
      <c r="F7">
        <f t="shared" ref="F7:F20" si="1">D7/4</f>
        <v>0.14124999999999999</v>
      </c>
      <c r="G7">
        <f t="shared" ref="G7:G20" si="2">B7/-1000</f>
        <v>0.05</v>
      </c>
      <c r="H7">
        <v>-25</v>
      </c>
      <c r="I7">
        <v>-2E-3</v>
      </c>
      <c r="J7">
        <v>3.4000000000000002E-2</v>
      </c>
      <c r="K7">
        <f t="shared" ref="K7:K8" si="3">I7/4</f>
        <v>-5.0000000000000001E-4</v>
      </c>
      <c r="L7">
        <f t="shared" ref="L7:L8" si="4">J7/4</f>
        <v>8.5000000000000006E-3</v>
      </c>
      <c r="M7">
        <f t="shared" ref="M7:M10" si="5">H7/-1000</f>
        <v>2.5000000000000001E-2</v>
      </c>
      <c r="N7">
        <v>-25</v>
      </c>
      <c r="O7">
        <v>-1E-3</v>
      </c>
      <c r="P7">
        <v>2.5000000000000001E-2</v>
      </c>
      <c r="Q7">
        <f t="shared" ref="Q7:Q9" si="6">O7/4</f>
        <v>-2.5000000000000001E-4</v>
      </c>
      <c r="R7">
        <f t="shared" ref="R7:R9" si="7">P7/4</f>
        <v>6.2500000000000003E-3</v>
      </c>
      <c r="S7">
        <f t="shared" ref="S7:S9" si="8">N7/-1000</f>
        <v>2.5000000000000001E-2</v>
      </c>
    </row>
    <row r="8" spans="2:19">
      <c r="B8">
        <v>-100</v>
      </c>
      <c r="C8">
        <v>-2E-3</v>
      </c>
      <c r="D8">
        <v>0.44700000000000001</v>
      </c>
      <c r="E8">
        <f t="shared" si="0"/>
        <v>-5.0000000000000001E-4</v>
      </c>
      <c r="F8">
        <f t="shared" si="1"/>
        <v>0.11175</v>
      </c>
      <c r="G8">
        <f t="shared" si="2"/>
        <v>0.1</v>
      </c>
      <c r="H8">
        <v>-40</v>
      </c>
      <c r="I8">
        <v>-3.0000000000000001E-3</v>
      </c>
      <c r="J8">
        <v>2.5000000000000001E-2</v>
      </c>
      <c r="K8">
        <f t="shared" si="3"/>
        <v>-7.5000000000000002E-4</v>
      </c>
      <c r="L8">
        <f t="shared" si="4"/>
        <v>6.2500000000000003E-3</v>
      </c>
      <c r="M8">
        <f t="shared" si="5"/>
        <v>0.04</v>
      </c>
      <c r="N8">
        <v>-50</v>
      </c>
      <c r="O8">
        <v>-2E-3</v>
      </c>
      <c r="P8">
        <v>1.2E-2</v>
      </c>
      <c r="Q8">
        <f t="shared" si="6"/>
        <v>-5.0000000000000001E-4</v>
      </c>
      <c r="R8">
        <f t="shared" si="7"/>
        <v>3.0000000000000001E-3</v>
      </c>
      <c r="S8">
        <f t="shared" si="8"/>
        <v>0.05</v>
      </c>
    </row>
    <row r="9" spans="2:19">
      <c r="B9">
        <v>-150</v>
      </c>
      <c r="C9">
        <v>-5.0000000000000001E-3</v>
      </c>
      <c r="D9">
        <v>0.32700000000000001</v>
      </c>
      <c r="E9">
        <f t="shared" si="0"/>
        <v>-1.25E-3</v>
      </c>
      <c r="F9">
        <f t="shared" si="1"/>
        <v>8.1750000000000003E-2</v>
      </c>
      <c r="G9">
        <f t="shared" si="2"/>
        <v>0.15</v>
      </c>
      <c r="H9">
        <v>-50</v>
      </c>
      <c r="I9">
        <v>-4.0000000000000001E-3</v>
      </c>
      <c r="J9">
        <v>0.01</v>
      </c>
      <c r="K9">
        <f t="shared" ref="K9:K10" si="9">I9/4</f>
        <v>-1E-3</v>
      </c>
      <c r="L9">
        <f t="shared" ref="L9:L10" si="10">J9/4</f>
        <v>2.5000000000000001E-3</v>
      </c>
      <c r="M9">
        <f t="shared" si="5"/>
        <v>0.05</v>
      </c>
      <c r="N9">
        <v>-75</v>
      </c>
      <c r="O9">
        <v>-2E-3</v>
      </c>
      <c r="P9">
        <v>0</v>
      </c>
      <c r="Q9">
        <f t="shared" si="6"/>
        <v>-5.0000000000000001E-4</v>
      </c>
      <c r="R9">
        <f t="shared" si="7"/>
        <v>0</v>
      </c>
      <c r="S9">
        <f t="shared" si="8"/>
        <v>7.4999999999999997E-2</v>
      </c>
    </row>
    <row r="10" spans="2:19">
      <c r="B10">
        <v>-200</v>
      </c>
      <c r="C10">
        <v>-8.9999999999999993E-3</v>
      </c>
      <c r="D10">
        <v>0.22500000000000001</v>
      </c>
      <c r="E10">
        <f t="shared" si="0"/>
        <v>-2.2499999999999998E-3</v>
      </c>
      <c r="F10">
        <f t="shared" si="1"/>
        <v>5.6250000000000001E-2</v>
      </c>
      <c r="G10">
        <f t="shared" si="2"/>
        <v>0.2</v>
      </c>
      <c r="H10">
        <v>-60</v>
      </c>
      <c r="I10">
        <v>-4.0000000000000001E-3</v>
      </c>
      <c r="J10">
        <v>7.0000000000000001E-3</v>
      </c>
      <c r="K10">
        <f t="shared" si="9"/>
        <v>-1E-3</v>
      </c>
      <c r="L10">
        <f t="shared" si="10"/>
        <v>1.75E-3</v>
      </c>
      <c r="M10">
        <f t="shared" si="5"/>
        <v>0.06</v>
      </c>
    </row>
    <row r="11" spans="2:19">
      <c r="B11">
        <v>-250</v>
      </c>
      <c r="C11">
        <v>-1.9E-2</v>
      </c>
      <c r="D11">
        <v>0.11</v>
      </c>
      <c r="E11">
        <f t="shared" si="0"/>
        <v>-4.7499999999999999E-3</v>
      </c>
      <c r="F11">
        <f t="shared" si="1"/>
        <v>2.75E-2</v>
      </c>
      <c r="G11">
        <f t="shared" si="2"/>
        <v>0.25</v>
      </c>
    </row>
    <row r="12" spans="2:19">
      <c r="B12">
        <v>-300</v>
      </c>
      <c r="C12">
        <v>-2.9000000000000001E-2</v>
      </c>
      <c r="D12">
        <v>5.8000000000000003E-2</v>
      </c>
      <c r="E12">
        <f t="shared" si="0"/>
        <v>-7.2500000000000004E-3</v>
      </c>
      <c r="F12">
        <f t="shared" si="1"/>
        <v>1.4500000000000001E-2</v>
      </c>
      <c r="G12">
        <f t="shared" si="2"/>
        <v>0.3</v>
      </c>
    </row>
    <row r="13" spans="2:19">
      <c r="B13">
        <v>-305</v>
      </c>
      <c r="C13">
        <v>-3.1E-2</v>
      </c>
      <c r="D13">
        <v>4.7E-2</v>
      </c>
      <c r="E13">
        <f t="shared" si="0"/>
        <v>-7.7499999999999999E-3</v>
      </c>
      <c r="F13">
        <f t="shared" si="1"/>
        <v>1.175E-2</v>
      </c>
      <c r="G13">
        <f t="shared" si="2"/>
        <v>0.30499999999999999</v>
      </c>
    </row>
    <row r="14" spans="2:19">
      <c r="B14">
        <v>-310</v>
      </c>
      <c r="C14">
        <v>-0.03</v>
      </c>
      <c r="D14">
        <v>4.2000000000000003E-2</v>
      </c>
      <c r="E14">
        <f t="shared" ref="E14:F16" si="11">C14/4</f>
        <v>-7.4999999999999997E-3</v>
      </c>
      <c r="F14">
        <f t="shared" si="11"/>
        <v>1.0500000000000001E-2</v>
      </c>
      <c r="G14">
        <f t="shared" si="2"/>
        <v>0.31</v>
      </c>
    </row>
    <row r="15" spans="2:19">
      <c r="B15">
        <v>-315</v>
      </c>
      <c r="C15">
        <v>-3.2000000000000001E-2</v>
      </c>
      <c r="D15">
        <v>0.04</v>
      </c>
      <c r="E15">
        <f t="shared" si="11"/>
        <v>-8.0000000000000002E-3</v>
      </c>
      <c r="F15">
        <f t="shared" si="11"/>
        <v>0.01</v>
      </c>
      <c r="G15">
        <f t="shared" si="2"/>
        <v>0.315</v>
      </c>
    </row>
    <row r="16" spans="2:19">
      <c r="B16">
        <v>-320</v>
      </c>
      <c r="C16">
        <v>-3.2000000000000001E-2</v>
      </c>
      <c r="D16">
        <v>3.3000000000000002E-2</v>
      </c>
      <c r="E16">
        <f t="shared" si="11"/>
        <v>-8.0000000000000002E-3</v>
      </c>
      <c r="F16">
        <f t="shared" si="11"/>
        <v>8.2500000000000004E-3</v>
      </c>
      <c r="G16">
        <f t="shared" si="2"/>
        <v>0.32</v>
      </c>
    </row>
    <row r="17" spans="2:7">
      <c r="B17">
        <v>-325</v>
      </c>
      <c r="C17">
        <v>-3.3000000000000002E-2</v>
      </c>
      <c r="D17">
        <v>2.5000000000000001E-2</v>
      </c>
      <c r="E17">
        <f t="shared" si="0"/>
        <v>-8.2500000000000004E-3</v>
      </c>
      <c r="F17">
        <f t="shared" si="1"/>
        <v>6.2500000000000003E-3</v>
      </c>
      <c r="G17">
        <f t="shared" si="2"/>
        <v>0.32500000000000001</v>
      </c>
    </row>
    <row r="18" spans="2:7">
      <c r="B18">
        <v>-330</v>
      </c>
      <c r="C18">
        <v>-3.5000000000000003E-2</v>
      </c>
      <c r="D18">
        <v>2.1000000000000001E-2</v>
      </c>
      <c r="E18">
        <f t="shared" si="0"/>
        <v>-8.7500000000000008E-3</v>
      </c>
      <c r="F18">
        <f t="shared" si="1"/>
        <v>5.2500000000000003E-3</v>
      </c>
      <c r="G18">
        <f t="shared" si="2"/>
        <v>0.33</v>
      </c>
    </row>
    <row r="19" spans="2:7">
      <c r="B19">
        <v>-335</v>
      </c>
      <c r="C19">
        <v>-3.5999999999999997E-2</v>
      </c>
      <c r="D19">
        <v>0.01</v>
      </c>
      <c r="E19">
        <f t="shared" si="0"/>
        <v>-8.9999999999999993E-3</v>
      </c>
      <c r="F19">
        <f t="shared" si="1"/>
        <v>2.5000000000000001E-3</v>
      </c>
      <c r="G19">
        <f t="shared" si="2"/>
        <v>0.33500000000000002</v>
      </c>
    </row>
    <row r="20" spans="2:7">
      <c r="B20">
        <v>-340</v>
      </c>
      <c r="C20">
        <v>-0.04</v>
      </c>
      <c r="D20">
        <v>0</v>
      </c>
      <c r="E20">
        <f t="shared" si="0"/>
        <v>-0.01</v>
      </c>
      <c r="F20">
        <f t="shared" si="1"/>
        <v>0</v>
      </c>
      <c r="G20">
        <f t="shared" si="2"/>
        <v>0.34</v>
      </c>
    </row>
    <row r="23" spans="2:7">
      <c r="B23" t="s">
        <v>10</v>
      </c>
    </row>
    <row r="34" spans="2:20">
      <c r="B34" t="s">
        <v>21</v>
      </c>
      <c r="C34">
        <f>0.3314/(2*2.0488)</f>
        <v>8.0876610698945722E-2</v>
      </c>
      <c r="K34" t="s">
        <v>21</v>
      </c>
      <c r="L34">
        <f>0.0692/(2*5.6117)</f>
        <v>6.1656895414936653E-3</v>
      </c>
      <c r="S34" t="s">
        <v>21</v>
      </c>
      <c r="T34">
        <f>0.0748/(2*8.0624)</f>
        <v>4.6388172256400084E-3</v>
      </c>
    </row>
    <row r="35" spans="2:20">
      <c r="B35" t="s">
        <v>22</v>
      </c>
      <c r="C35">
        <f>-2.0488*C34 + 0.3314</f>
        <v>0.16569999999999999</v>
      </c>
      <c r="K35" t="s">
        <v>22</v>
      </c>
      <c r="L35">
        <f>-5.6117*L34 + 0.0692</f>
        <v>3.4599999999999999E-2</v>
      </c>
      <c r="S35" t="s">
        <v>22</v>
      </c>
      <c r="T35">
        <f>-8.0624*T34 + 0.0748</f>
        <v>3.7400000000000003E-2</v>
      </c>
    </row>
    <row r="36" spans="2:20">
      <c r="B36" t="s">
        <v>23</v>
      </c>
      <c r="C36">
        <f>C34*C35</f>
        <v>1.3401254392815306E-2</v>
      </c>
      <c r="K36" t="s">
        <v>23</v>
      </c>
      <c r="L36">
        <f>L34*L35</f>
        <v>2.1333285813568081E-4</v>
      </c>
      <c r="S36" t="s">
        <v>23</v>
      </c>
      <c r="T36">
        <f>T34*T35</f>
        <v>1.7349176423893633E-4</v>
      </c>
    </row>
    <row r="37" spans="2:20">
      <c r="B37" t="s">
        <v>24</v>
      </c>
      <c r="C37">
        <v>0.33139999999999997</v>
      </c>
      <c r="K37" t="s">
        <v>24</v>
      </c>
      <c r="L37">
        <v>6.9199999999999998E-2</v>
      </c>
      <c r="S37" t="s">
        <v>24</v>
      </c>
      <c r="T37">
        <v>7.4800000000000005E-2</v>
      </c>
    </row>
    <row r="38" spans="2:20">
      <c r="B38" t="s">
        <v>25</v>
      </c>
      <c r="C38">
        <f>0.3314/2.0488</f>
        <v>0.16175322139789144</v>
      </c>
      <c r="K38" t="s">
        <v>25</v>
      </c>
      <c r="L38">
        <f>0.0692/5.6117</f>
        <v>1.2331379082987331E-2</v>
      </c>
      <c r="S38" t="s">
        <v>25</v>
      </c>
      <c r="T38">
        <f>0.0748/8.0624</f>
        <v>9.2776344512800167E-3</v>
      </c>
    </row>
    <row r="39" spans="2:20">
      <c r="B39" t="s">
        <v>26</v>
      </c>
      <c r="C39">
        <f>C36/(C37*C38)</f>
        <v>0.25</v>
      </c>
      <c r="K39" t="s">
        <v>26</v>
      </c>
      <c r="L39">
        <f>L36/(L37*L38)</f>
        <v>0.25</v>
      </c>
      <c r="S39" t="s">
        <v>26</v>
      </c>
      <c r="T39">
        <f>T36/(T37*T38)</f>
        <v>0.25</v>
      </c>
    </row>
    <row r="40" spans="2:20">
      <c r="B40" t="s">
        <v>27</v>
      </c>
      <c r="C40">
        <v>423</v>
      </c>
      <c r="K40" t="s">
        <v>27</v>
      </c>
      <c r="L40">
        <v>423</v>
      </c>
      <c r="S40" t="s">
        <v>27</v>
      </c>
      <c r="T40">
        <v>423</v>
      </c>
    </row>
    <row r="41" spans="2:20">
      <c r="B41" t="s">
        <v>28</v>
      </c>
      <c r="C41">
        <f>(C37*C38*C39*100)/C40</f>
        <v>3.1681452465284407E-3</v>
      </c>
      <c r="K41" t="s">
        <v>28</v>
      </c>
      <c r="L41">
        <f>(L37*L38*L39*100)/L40</f>
        <v>5.0433299795669223E-5</v>
      </c>
      <c r="S41" t="s">
        <v>28</v>
      </c>
      <c r="T41">
        <f>(T37*T38*T39*100)/T40</f>
        <v>4.1014601474925845E-5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E709-3DC3-4BA5-8C55-645191C80F03}">
  <dimension ref="B2:J46"/>
  <sheetViews>
    <sheetView tabSelected="1" zoomScale="88" workbookViewId="0">
      <selection activeCell="H48" sqref="H48"/>
    </sheetView>
  </sheetViews>
  <sheetFormatPr baseColWidth="10" defaultColWidth="8.83203125" defaultRowHeight="18"/>
  <cols>
    <col min="3" max="3" width="8.6640625" style="1"/>
  </cols>
  <sheetData>
    <row r="2" spans="2:10">
      <c r="B2" t="s">
        <v>10</v>
      </c>
    </row>
    <row r="3" spans="2:10">
      <c r="B3" t="s">
        <v>16</v>
      </c>
      <c r="C3" s="2" t="s">
        <v>18</v>
      </c>
    </row>
    <row r="4" spans="2:10" ht="19">
      <c r="C4" s="2" t="s">
        <v>19</v>
      </c>
      <c r="D4" t="s">
        <v>2</v>
      </c>
    </row>
    <row r="5" spans="2:10">
      <c r="B5" t="s">
        <v>11</v>
      </c>
      <c r="C5" s="2"/>
      <c r="D5" t="s">
        <v>3</v>
      </c>
      <c r="E5" t="s">
        <v>4</v>
      </c>
      <c r="F5" t="s">
        <v>12</v>
      </c>
      <c r="G5" t="s">
        <v>17</v>
      </c>
      <c r="H5" t="s">
        <v>13</v>
      </c>
      <c r="I5" t="s">
        <v>14</v>
      </c>
      <c r="J5" t="s">
        <v>15</v>
      </c>
    </row>
    <row r="6" spans="2:10">
      <c r="B6">
        <v>800</v>
      </c>
      <c r="C6">
        <v>0.39729999999999999</v>
      </c>
      <c r="D6">
        <v>0</v>
      </c>
      <c r="E6">
        <v>0</v>
      </c>
      <c r="F6">
        <f>E6-D6</f>
        <v>0</v>
      </c>
      <c r="G6">
        <f>F6/4</f>
        <v>0</v>
      </c>
      <c r="J6" t="e">
        <f>H6/I6</f>
        <v>#DIV/0!</v>
      </c>
    </row>
    <row r="7" spans="2:10">
      <c r="B7">
        <v>780</v>
      </c>
      <c r="C7">
        <v>0.46639999999999998</v>
      </c>
      <c r="D7">
        <v>0</v>
      </c>
      <c r="E7">
        <v>0</v>
      </c>
      <c r="F7">
        <f t="shared" ref="F7:F26" si="0">E7-D7</f>
        <v>0</v>
      </c>
      <c r="G7">
        <f t="shared" ref="G7:G26" si="1">F7/4</f>
        <v>0</v>
      </c>
    </row>
    <row r="8" spans="2:10">
      <c r="B8">
        <v>760</v>
      </c>
      <c r="C8">
        <v>0.63540000000000008</v>
      </c>
      <c r="D8">
        <v>0</v>
      </c>
      <c r="E8">
        <v>0</v>
      </c>
      <c r="F8">
        <f t="shared" si="0"/>
        <v>0</v>
      </c>
      <c r="G8">
        <f t="shared" si="1"/>
        <v>0</v>
      </c>
    </row>
    <row r="9" spans="2:10">
      <c r="B9">
        <v>740</v>
      </c>
      <c r="C9">
        <v>0.86430000000000007</v>
      </c>
      <c r="D9">
        <v>0</v>
      </c>
      <c r="E9">
        <v>0</v>
      </c>
      <c r="F9">
        <f t="shared" si="0"/>
        <v>0</v>
      </c>
      <c r="G9">
        <f t="shared" si="1"/>
        <v>0</v>
      </c>
    </row>
    <row r="10" spans="2:10">
      <c r="B10">
        <v>720</v>
      </c>
      <c r="C10">
        <v>1.1233</v>
      </c>
      <c r="D10">
        <v>0</v>
      </c>
      <c r="E10">
        <v>0</v>
      </c>
      <c r="F10">
        <f t="shared" si="0"/>
        <v>0</v>
      </c>
      <c r="G10">
        <f t="shared" si="1"/>
        <v>0</v>
      </c>
    </row>
    <row r="11" spans="2:10">
      <c r="B11">
        <v>700</v>
      </c>
      <c r="C11">
        <v>1.3719999999999999</v>
      </c>
      <c r="D11">
        <v>0</v>
      </c>
      <c r="E11">
        <v>0</v>
      </c>
      <c r="F11">
        <f t="shared" si="0"/>
        <v>0</v>
      </c>
      <c r="G11">
        <f t="shared" si="1"/>
        <v>0</v>
      </c>
    </row>
    <row r="12" spans="2:10">
      <c r="B12">
        <v>680</v>
      </c>
      <c r="C12">
        <v>1.9200999999999999</v>
      </c>
      <c r="D12">
        <v>0</v>
      </c>
      <c r="E12">
        <v>0</v>
      </c>
      <c r="F12">
        <f t="shared" si="0"/>
        <v>0</v>
      </c>
      <c r="G12">
        <f t="shared" si="1"/>
        <v>0</v>
      </c>
    </row>
    <row r="13" spans="2:10">
      <c r="B13">
        <v>660</v>
      </c>
      <c r="C13">
        <v>2.3483999999999998</v>
      </c>
      <c r="D13">
        <v>0</v>
      </c>
      <c r="E13">
        <v>0</v>
      </c>
      <c r="F13">
        <f t="shared" si="0"/>
        <v>0</v>
      </c>
      <c r="G13">
        <f t="shared" si="1"/>
        <v>0</v>
      </c>
    </row>
    <row r="14" spans="2:10">
      <c r="B14">
        <v>640</v>
      </c>
      <c r="C14">
        <v>2.7961</v>
      </c>
      <c r="D14">
        <v>0</v>
      </c>
      <c r="E14">
        <v>0</v>
      </c>
      <c r="F14">
        <f t="shared" si="0"/>
        <v>0</v>
      </c>
      <c r="G14">
        <f t="shared" si="1"/>
        <v>0</v>
      </c>
    </row>
    <row r="15" spans="2:10">
      <c r="B15">
        <v>620</v>
      </c>
      <c r="C15">
        <v>3.2141999999999999</v>
      </c>
      <c r="D15">
        <v>0</v>
      </c>
      <c r="E15">
        <v>0</v>
      </c>
      <c r="F15">
        <f t="shared" si="0"/>
        <v>0</v>
      </c>
      <c r="G15">
        <f t="shared" si="1"/>
        <v>0</v>
      </c>
    </row>
    <row r="16" spans="2:10">
      <c r="B16">
        <v>600</v>
      </c>
      <c r="C16">
        <v>3.6613000000000002</v>
      </c>
      <c r="D16">
        <v>0</v>
      </c>
      <c r="E16">
        <v>1E-3</v>
      </c>
      <c r="F16">
        <f t="shared" si="0"/>
        <v>1E-3</v>
      </c>
      <c r="G16">
        <f t="shared" si="1"/>
        <v>2.5000000000000001E-4</v>
      </c>
    </row>
    <row r="17" spans="2:7">
      <c r="B17">
        <v>580</v>
      </c>
      <c r="C17">
        <v>4.0587999999999997</v>
      </c>
      <c r="D17">
        <v>0</v>
      </c>
      <c r="E17">
        <v>6.0000000000000001E-3</v>
      </c>
      <c r="F17">
        <f t="shared" si="0"/>
        <v>6.0000000000000001E-3</v>
      </c>
      <c r="G17">
        <f t="shared" si="1"/>
        <v>1.5E-3</v>
      </c>
    </row>
    <row r="18" spans="2:7">
      <c r="B18">
        <v>560</v>
      </c>
      <c r="C18">
        <v>4.3068999999999997</v>
      </c>
      <c r="D18">
        <v>0</v>
      </c>
      <c r="E18">
        <v>1.4E-2</v>
      </c>
      <c r="F18">
        <f t="shared" si="0"/>
        <v>1.4E-2</v>
      </c>
      <c r="G18">
        <f t="shared" si="1"/>
        <v>3.5000000000000001E-3</v>
      </c>
    </row>
    <row r="19" spans="2:7">
      <c r="B19">
        <v>540</v>
      </c>
      <c r="C19">
        <v>4.5739999999999998</v>
      </c>
      <c r="D19">
        <v>0</v>
      </c>
      <c r="E19">
        <v>2.1000000000000001E-2</v>
      </c>
      <c r="F19">
        <f t="shared" si="0"/>
        <v>2.1000000000000001E-2</v>
      </c>
      <c r="G19">
        <f t="shared" si="1"/>
        <v>5.2500000000000003E-3</v>
      </c>
    </row>
    <row r="20" spans="2:7">
      <c r="B20">
        <v>520</v>
      </c>
      <c r="C20">
        <v>4.9415000000000004</v>
      </c>
      <c r="D20">
        <v>0</v>
      </c>
      <c r="E20">
        <v>2.3E-2</v>
      </c>
      <c r="F20">
        <f t="shared" si="0"/>
        <v>2.3E-2</v>
      </c>
      <c r="G20">
        <f t="shared" si="1"/>
        <v>5.7499999999999999E-3</v>
      </c>
    </row>
    <row r="21" spans="2:7">
      <c r="B21">
        <v>500</v>
      </c>
      <c r="C21">
        <v>5.2690999999999999</v>
      </c>
      <c r="D21">
        <v>0</v>
      </c>
      <c r="E21">
        <v>2.1000000000000001E-2</v>
      </c>
      <c r="F21">
        <f t="shared" si="0"/>
        <v>2.1000000000000001E-2</v>
      </c>
      <c r="G21">
        <f t="shared" si="1"/>
        <v>5.2500000000000003E-3</v>
      </c>
    </row>
    <row r="22" spans="2:7">
      <c r="B22">
        <v>480</v>
      </c>
      <c r="C22">
        <v>5.4962</v>
      </c>
      <c r="D22">
        <v>0</v>
      </c>
      <c r="E22">
        <v>1.6E-2</v>
      </c>
      <c r="F22">
        <f t="shared" si="0"/>
        <v>1.6E-2</v>
      </c>
      <c r="G22">
        <f t="shared" si="1"/>
        <v>4.0000000000000001E-3</v>
      </c>
    </row>
    <row r="23" spans="2:7">
      <c r="B23">
        <v>460</v>
      </c>
      <c r="C23">
        <v>5.101</v>
      </c>
      <c r="D23">
        <v>0</v>
      </c>
      <c r="E23">
        <v>1.0999999999999999E-2</v>
      </c>
      <c r="F23">
        <f t="shared" si="0"/>
        <v>1.0999999999999999E-2</v>
      </c>
      <c r="G23">
        <f t="shared" si="1"/>
        <v>2.7499999999999998E-3</v>
      </c>
    </row>
    <row r="24" spans="2:7">
      <c r="B24">
        <v>440</v>
      </c>
      <c r="C24">
        <v>3.9356</v>
      </c>
      <c r="D24">
        <v>0</v>
      </c>
      <c r="E24">
        <v>6.0000000000000001E-3</v>
      </c>
      <c r="F24">
        <f t="shared" si="0"/>
        <v>6.0000000000000001E-3</v>
      </c>
      <c r="G24">
        <f t="shared" si="1"/>
        <v>1.5E-3</v>
      </c>
    </row>
    <row r="25" spans="2:7">
      <c r="B25">
        <v>420</v>
      </c>
      <c r="C25">
        <v>2.2990000000000004</v>
      </c>
      <c r="D25">
        <v>0</v>
      </c>
      <c r="E25">
        <v>2E-3</v>
      </c>
      <c r="F25">
        <f t="shared" si="0"/>
        <v>2E-3</v>
      </c>
      <c r="G25">
        <f t="shared" si="1"/>
        <v>5.0000000000000001E-4</v>
      </c>
    </row>
    <row r="26" spans="2:7">
      <c r="B26">
        <v>400</v>
      </c>
      <c r="C26">
        <v>0.9325</v>
      </c>
      <c r="D26">
        <v>0</v>
      </c>
      <c r="E26">
        <v>0</v>
      </c>
      <c r="F26">
        <f t="shared" si="0"/>
        <v>0</v>
      </c>
      <c r="G26">
        <f t="shared" si="1"/>
        <v>0</v>
      </c>
    </row>
    <row r="27" spans="2:7">
      <c r="C27"/>
    </row>
    <row r="28" spans="2:7">
      <c r="C28"/>
    </row>
    <row r="29" spans="2:7">
      <c r="C29"/>
    </row>
    <row r="30" spans="2:7">
      <c r="C30"/>
    </row>
    <row r="31" spans="2:7">
      <c r="C31"/>
    </row>
    <row r="32" spans="2:7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  <row r="45" spans="3:3">
      <c r="C45"/>
    </row>
    <row r="46" spans="3:3">
      <c r="C46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CDA4-1660-415A-B0DC-F26B112152A2}">
  <dimension ref="B2:H28"/>
  <sheetViews>
    <sheetView zoomScale="88" workbookViewId="0">
      <selection activeCell="D29" sqref="D29"/>
    </sheetView>
  </sheetViews>
  <sheetFormatPr baseColWidth="10" defaultColWidth="8.83203125" defaultRowHeight="18"/>
  <sheetData>
    <row r="2" spans="2:8">
      <c r="B2" t="s">
        <v>10</v>
      </c>
    </row>
    <row r="3" spans="2:8">
      <c r="B3" t="s">
        <v>8</v>
      </c>
    </row>
    <row r="4" spans="2:8">
      <c r="C4" t="s">
        <v>2</v>
      </c>
    </row>
    <row r="5" spans="2:8">
      <c r="B5" t="s">
        <v>11</v>
      </c>
      <c r="C5" t="s">
        <v>3</v>
      </c>
      <c r="D5" t="s">
        <v>4</v>
      </c>
      <c r="E5" t="s">
        <v>12</v>
      </c>
      <c r="F5" t="s">
        <v>13</v>
      </c>
      <c r="G5" t="s">
        <v>14</v>
      </c>
      <c r="H5" t="s">
        <v>15</v>
      </c>
    </row>
    <row r="6" spans="2:8">
      <c r="B6">
        <v>800</v>
      </c>
      <c r="C6">
        <v>0</v>
      </c>
      <c r="D6">
        <v>0</v>
      </c>
      <c r="E6">
        <f>D6-C6</f>
        <v>0</v>
      </c>
      <c r="H6" t="e">
        <f>F6/G6</f>
        <v>#DIV/0!</v>
      </c>
    </row>
    <row r="7" spans="2:8">
      <c r="B7">
        <v>780</v>
      </c>
      <c r="C7">
        <v>0</v>
      </c>
      <c r="D7">
        <v>0</v>
      </c>
    </row>
    <row r="8" spans="2:8">
      <c r="B8">
        <v>760</v>
      </c>
      <c r="C8">
        <v>0</v>
      </c>
      <c r="D8">
        <v>0</v>
      </c>
    </row>
    <row r="9" spans="2:8">
      <c r="B9">
        <v>740</v>
      </c>
      <c r="C9">
        <v>0</v>
      </c>
      <c r="D9">
        <v>0</v>
      </c>
    </row>
    <row r="10" spans="2:8">
      <c r="B10">
        <v>720</v>
      </c>
      <c r="C10">
        <v>0</v>
      </c>
      <c r="D10">
        <v>0</v>
      </c>
    </row>
    <row r="11" spans="2:8">
      <c r="B11">
        <v>700</v>
      </c>
      <c r="C11">
        <v>0</v>
      </c>
      <c r="D11">
        <v>0</v>
      </c>
    </row>
    <row r="12" spans="2:8">
      <c r="B12">
        <v>680</v>
      </c>
      <c r="C12">
        <v>0</v>
      </c>
      <c r="D12">
        <v>0</v>
      </c>
    </row>
    <row r="13" spans="2:8">
      <c r="B13">
        <v>660</v>
      </c>
      <c r="C13">
        <v>0</v>
      </c>
      <c r="D13">
        <v>0</v>
      </c>
    </row>
    <row r="14" spans="2:8">
      <c r="B14">
        <v>640</v>
      </c>
      <c r="C14">
        <v>0</v>
      </c>
      <c r="D14">
        <v>-1E-3</v>
      </c>
    </row>
    <row r="15" spans="2:8">
      <c r="B15">
        <v>620</v>
      </c>
      <c r="C15">
        <v>0</v>
      </c>
      <c r="D15">
        <v>-1E-3</v>
      </c>
    </row>
    <row r="16" spans="2:8">
      <c r="B16">
        <v>600</v>
      </c>
      <c r="C16">
        <v>-1E-3</v>
      </c>
      <c r="D16">
        <v>-1E-3</v>
      </c>
    </row>
    <row r="17" spans="2:4">
      <c r="B17">
        <v>580</v>
      </c>
      <c r="C17">
        <v>-1E-3</v>
      </c>
      <c r="D17">
        <v>-2E-3</v>
      </c>
    </row>
    <row r="18" spans="2:4">
      <c r="B18">
        <v>560</v>
      </c>
      <c r="C18">
        <v>-1E-3</v>
      </c>
      <c r="D18">
        <v>-1E-3</v>
      </c>
    </row>
    <row r="19" spans="2:4">
      <c r="B19">
        <v>540</v>
      </c>
      <c r="C19">
        <v>-1E-3</v>
      </c>
      <c r="D19">
        <v>-2E-3</v>
      </c>
    </row>
    <row r="20" spans="2:4">
      <c r="B20">
        <v>520</v>
      </c>
      <c r="C20">
        <v>-1E-3</v>
      </c>
      <c r="D20">
        <v>-2E-3</v>
      </c>
    </row>
    <row r="21" spans="2:4">
      <c r="B21">
        <v>500</v>
      </c>
      <c r="C21">
        <v>-1E-3</v>
      </c>
      <c r="D21">
        <v>-3.0000000000000001E-3</v>
      </c>
    </row>
    <row r="22" spans="2:4">
      <c r="B22">
        <v>480</v>
      </c>
      <c r="C22">
        <v>-1E-3</v>
      </c>
      <c r="D22">
        <v>-3.0000000000000001E-3</v>
      </c>
    </row>
    <row r="23" spans="2:4">
      <c r="B23">
        <v>460</v>
      </c>
      <c r="C23">
        <v>-1E-3</v>
      </c>
      <c r="D23">
        <v>-4.0000000000000001E-3</v>
      </c>
    </row>
    <row r="24" spans="2:4">
      <c r="B24">
        <v>440</v>
      </c>
      <c r="C24">
        <v>-1E-3</v>
      </c>
      <c r="D24">
        <v>-4.0000000000000001E-3</v>
      </c>
    </row>
    <row r="25" spans="2:4">
      <c r="B25">
        <v>420</v>
      </c>
      <c r="C25">
        <v>-1E-3</v>
      </c>
      <c r="D25">
        <v>-3.0000000000000001E-3</v>
      </c>
    </row>
    <row r="26" spans="2:4">
      <c r="B26">
        <v>400</v>
      </c>
      <c r="C26">
        <v>-1E-3</v>
      </c>
      <c r="D26">
        <v>-2E-3</v>
      </c>
    </row>
    <row r="27" spans="2:4">
      <c r="B27">
        <v>380</v>
      </c>
      <c r="C27">
        <v>-1E-3</v>
      </c>
      <c r="D27">
        <v>-1E-3</v>
      </c>
    </row>
    <row r="28" spans="2:4">
      <c r="B28">
        <v>360</v>
      </c>
      <c r="C28">
        <v>-1E-3</v>
      </c>
      <c r="D28">
        <v>-1E-3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E813-B300-4EC0-B386-14F300DCEC85}">
  <dimension ref="B2:H26"/>
  <sheetViews>
    <sheetView zoomScale="88" workbookViewId="0">
      <selection activeCell="I38" sqref="I38"/>
    </sheetView>
  </sheetViews>
  <sheetFormatPr baseColWidth="10" defaultColWidth="8.83203125" defaultRowHeight="18"/>
  <sheetData>
    <row r="2" spans="2:8">
      <c r="B2" t="s">
        <v>10</v>
      </c>
    </row>
    <row r="3" spans="2:8">
      <c r="B3" t="s">
        <v>8</v>
      </c>
    </row>
    <row r="4" spans="2:8">
      <c r="C4" t="s">
        <v>2</v>
      </c>
    </row>
    <row r="5" spans="2:8">
      <c r="B5" t="s">
        <v>11</v>
      </c>
      <c r="C5" t="s">
        <v>3</v>
      </c>
      <c r="D5" t="s">
        <v>4</v>
      </c>
      <c r="E5" t="s">
        <v>12</v>
      </c>
      <c r="F5" t="s">
        <v>13</v>
      </c>
      <c r="G5" t="s">
        <v>14</v>
      </c>
      <c r="H5" t="s">
        <v>15</v>
      </c>
    </row>
    <row r="6" spans="2:8">
      <c r="B6">
        <v>800</v>
      </c>
      <c r="C6">
        <v>0</v>
      </c>
      <c r="D6">
        <v>0</v>
      </c>
      <c r="E6">
        <f>D6-C6</f>
        <v>0</v>
      </c>
      <c r="H6" t="e">
        <f>F6/G6</f>
        <v>#DIV/0!</v>
      </c>
    </row>
    <row r="7" spans="2:8">
      <c r="B7">
        <v>780</v>
      </c>
      <c r="C7">
        <v>0</v>
      </c>
      <c r="D7">
        <v>0</v>
      </c>
    </row>
    <row r="8" spans="2:8">
      <c r="B8">
        <v>760</v>
      </c>
      <c r="C8">
        <v>0</v>
      </c>
      <c r="D8">
        <v>0</v>
      </c>
    </row>
    <row r="9" spans="2:8">
      <c r="B9">
        <v>740</v>
      </c>
      <c r="C9">
        <v>0</v>
      </c>
      <c r="D9">
        <v>0</v>
      </c>
    </row>
    <row r="10" spans="2:8">
      <c r="B10">
        <v>720</v>
      </c>
      <c r="C10">
        <v>0</v>
      </c>
      <c r="D10">
        <v>0</v>
      </c>
    </row>
    <row r="11" spans="2:8">
      <c r="B11">
        <v>700</v>
      </c>
      <c r="C11">
        <v>0</v>
      </c>
      <c r="D11">
        <v>0</v>
      </c>
    </row>
    <row r="12" spans="2:8">
      <c r="B12">
        <v>680</v>
      </c>
      <c r="C12">
        <v>0</v>
      </c>
      <c r="D12">
        <v>0</v>
      </c>
    </row>
    <row r="13" spans="2:8">
      <c r="B13">
        <v>660</v>
      </c>
      <c r="C13">
        <v>0</v>
      </c>
      <c r="D13">
        <v>0</v>
      </c>
    </row>
    <row r="14" spans="2:8">
      <c r="B14">
        <v>640</v>
      </c>
      <c r="C14">
        <v>0</v>
      </c>
      <c r="D14">
        <v>0</v>
      </c>
    </row>
    <row r="15" spans="2:8">
      <c r="B15">
        <v>620</v>
      </c>
      <c r="C15">
        <v>0</v>
      </c>
      <c r="D15">
        <v>0</v>
      </c>
    </row>
    <row r="16" spans="2:8">
      <c r="B16">
        <v>600</v>
      </c>
      <c r="C16">
        <v>0</v>
      </c>
      <c r="D16">
        <v>-1E-3</v>
      </c>
    </row>
    <row r="17" spans="2:4">
      <c r="B17">
        <v>580</v>
      </c>
      <c r="C17">
        <v>0</v>
      </c>
      <c r="D17">
        <v>-1E-3</v>
      </c>
    </row>
    <row r="18" spans="2:4">
      <c r="B18">
        <v>560</v>
      </c>
      <c r="C18">
        <v>0</v>
      </c>
      <c r="D18">
        <v>0</v>
      </c>
    </row>
    <row r="19" spans="2:4">
      <c r="B19">
        <v>540</v>
      </c>
      <c r="C19">
        <v>0</v>
      </c>
      <c r="D19">
        <v>0</v>
      </c>
    </row>
    <row r="20" spans="2:4">
      <c r="B20">
        <v>520</v>
      </c>
      <c r="C20">
        <v>0</v>
      </c>
      <c r="D20">
        <v>-1E-3</v>
      </c>
    </row>
    <row r="21" spans="2:4">
      <c r="B21">
        <v>500</v>
      </c>
      <c r="C21">
        <v>0</v>
      </c>
      <c r="D21">
        <v>-1E-3</v>
      </c>
    </row>
    <row r="22" spans="2:4">
      <c r="B22">
        <v>480</v>
      </c>
      <c r="C22">
        <v>0</v>
      </c>
      <c r="D22">
        <v>-1E-3</v>
      </c>
    </row>
    <row r="23" spans="2:4">
      <c r="B23">
        <v>460</v>
      </c>
      <c r="C23">
        <v>0</v>
      </c>
      <c r="D23">
        <v>-1E-3</v>
      </c>
    </row>
    <row r="24" spans="2:4">
      <c r="B24">
        <v>440</v>
      </c>
      <c r="C24">
        <v>0</v>
      </c>
      <c r="D24">
        <v>-1E-3</v>
      </c>
    </row>
    <row r="25" spans="2:4">
      <c r="B25">
        <v>420</v>
      </c>
      <c r="C25">
        <v>0</v>
      </c>
      <c r="D25">
        <v>-2E-3</v>
      </c>
    </row>
    <row r="26" spans="2:4">
      <c r="B26">
        <v>400</v>
      </c>
      <c r="C26">
        <v>0</v>
      </c>
      <c r="D26">
        <v>-1E-3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194979B929F24F9ED8EDFBA8C2B3C0" ma:contentTypeVersion="9" ma:contentTypeDescription="新しいドキュメントを作成します。" ma:contentTypeScope="" ma:versionID="4921e6eb36121f24b9f142e2a9bbc775">
  <xsd:schema xmlns:xsd="http://www.w3.org/2001/XMLSchema" xmlns:xs="http://www.w3.org/2001/XMLSchema" xmlns:p="http://schemas.microsoft.com/office/2006/metadata/properties" xmlns:ns3="1e96777e-c527-4c3b-bd25-1feec2cdf3c7" targetNamespace="http://schemas.microsoft.com/office/2006/metadata/properties" ma:root="true" ma:fieldsID="6404084e4861f27c71d607caa95136a7" ns3:_="">
    <xsd:import namespace="1e96777e-c527-4c3b-bd25-1feec2cdf3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6777e-c527-4c3b-bd25-1feec2cdf3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265052-43F3-4571-A9B3-F093649F5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96777e-c527-4c3b-bd25-1feec2cdf3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E5D82-B9D4-4696-8919-B39CF2F161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29DCB6-811A-44B0-839F-9BE33A77D261}">
  <ds:schemaRefs>
    <ds:schemaRef ds:uri="http://purl.org/dc/terms/"/>
    <ds:schemaRef ds:uri="http://purl.org/dc/dcmitype/"/>
    <ds:schemaRef ds:uri="http://schemas.microsoft.com/office/infopath/2007/PartnerControls"/>
    <ds:schemaRef ds:uri="1e96777e-c527-4c3b-bd25-1feec2cdf3c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J-V特性</vt:lpstr>
      <vt:lpstr>光電流（メオシンY）</vt:lpstr>
      <vt:lpstr>光電量（メチレンブルー）</vt:lpstr>
      <vt:lpstr>光電流（色素なし）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高島 樹</dc:creator>
  <cp:lastModifiedBy>NAKAMURA Yusaku</cp:lastModifiedBy>
  <dcterms:created xsi:type="dcterms:W3CDTF">2023-11-30T04:10:51Z</dcterms:created>
  <dcterms:modified xsi:type="dcterms:W3CDTF">2023-12-14T07:24:19Z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0x010100C6194979B929F24F9ED8EDFBA8C2B3C0</vt:lpwstr>
  </property>
</Properties>
</file>