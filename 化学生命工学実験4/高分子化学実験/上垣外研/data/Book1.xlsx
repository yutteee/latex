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teee/univ/latex/化学生命工学実験4/高分子化学実験/上垣外研/data/"/>
    </mc:Choice>
  </mc:AlternateContent>
  <xr:revisionPtr revIDLastSave="0" documentId="8_{B9D2A46C-F0FC-6D44-A104-47363EAE4EC8}" xr6:coauthVersionLast="47" xr6:coauthVersionMax="47" xr10:uidLastSave="{00000000-0000-0000-0000-000000000000}"/>
  <bookViews>
    <workbookView xWindow="15740" yWindow="760" windowWidth="18820" windowHeight="21580" xr2:uid="{6A35A128-940E-E044-BCF8-876D987785C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1" l="1"/>
  <c r="R27" i="1"/>
  <c r="K3" i="1"/>
  <c r="K4" i="1"/>
  <c r="K5" i="1"/>
  <c r="K6" i="1"/>
  <c r="K2" i="1"/>
  <c r="J3" i="1"/>
  <c r="J4" i="1"/>
  <c r="J5" i="1"/>
  <c r="J6" i="1"/>
  <c r="J2" i="1"/>
  <c r="H9" i="1"/>
  <c r="G10" i="1"/>
  <c r="G9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6" i="1"/>
  <c r="D16" i="1" s="1"/>
  <c r="H4" i="1"/>
  <c r="G3" i="1"/>
  <c r="G4" i="1"/>
  <c r="G5" i="1"/>
  <c r="G6" i="1"/>
  <c r="D6" i="1"/>
  <c r="D5" i="1"/>
  <c r="H5" i="1" s="1"/>
  <c r="D3" i="1"/>
  <c r="H3" i="1" s="1"/>
  <c r="D2" i="1"/>
  <c r="H2" i="1" s="1"/>
  <c r="E3" i="1"/>
  <c r="E4" i="1"/>
  <c r="E5" i="1"/>
  <c r="E6" i="1"/>
  <c r="H6" i="1" s="1"/>
  <c r="E2" i="1"/>
  <c r="G2" i="1" s="1"/>
</calcChain>
</file>

<file path=xl/sharedStrings.xml><?xml version="1.0" encoding="utf-8"?>
<sst xmlns="http://schemas.openxmlformats.org/spreadsheetml/2006/main" count="17" uniqueCount="17">
  <si>
    <t>80/20</t>
    <phoneticPr fontId="1"/>
  </si>
  <si>
    <t>70/30</t>
    <phoneticPr fontId="1"/>
  </si>
  <si>
    <t>50/50</t>
    <phoneticPr fontId="1"/>
  </si>
  <si>
    <t>30/70</t>
    <phoneticPr fontId="1"/>
  </si>
  <si>
    <t>20/80</t>
    <phoneticPr fontId="1"/>
  </si>
  <si>
    <t>M1</t>
    <phoneticPr fontId="1"/>
  </si>
  <si>
    <t>M2</t>
    <phoneticPr fontId="1"/>
  </si>
  <si>
    <t>F</t>
    <phoneticPr fontId="1"/>
  </si>
  <si>
    <t>f</t>
    <phoneticPr fontId="1"/>
  </si>
  <si>
    <t>F(f-1)/f</t>
  </si>
  <si>
    <t>F^2/f</t>
    <phoneticPr fontId="1"/>
  </si>
  <si>
    <t>xi</t>
    <phoneticPr fontId="1"/>
  </si>
  <si>
    <t>eta</t>
    <phoneticPr fontId="1"/>
  </si>
  <si>
    <t>min</t>
    <phoneticPr fontId="1"/>
  </si>
  <si>
    <t>alpha</t>
    <phoneticPr fontId="1"/>
  </si>
  <si>
    <t>r1</t>
    <phoneticPr fontId="1"/>
  </si>
  <si>
    <t>r2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</si>
</sst>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'1'!$G$2:$G$6</c:f>
              <c:numCache>
                <c:formatCode>General</c:formatCode>
                <c:ptCount val="5"/>
                <c:pt idx="0">
                  <c:v>6.535211267605634</c:v>
                </c:pt>
                <c:pt idx="1">
                  <c:v>3.0625000000000009</c:v>
                </c:pt>
                <c:pt idx="2">
                  <c:v>1.0408163265306123</c:v>
                </c:pt>
                <c:pt idx="3">
                  <c:v>0.39030612244897955</c:v>
                </c:pt>
                <c:pt idx="4">
                  <c:v>0.20923913043478262</c:v>
                </c:pt>
              </c:numCache>
            </c:numRef>
          </c:xVal>
          <c:yVal>
            <c:numRef>
              <c:f>'1'!$H$2:$H$6</c:f>
              <c:numCache>
                <c:formatCode>General</c:formatCode>
                <c:ptCount val="5"/>
                <c:pt idx="0">
                  <c:v>2.3661971830985915</c:v>
                </c:pt>
                <c:pt idx="1">
                  <c:v>1.0208333333333333</c:v>
                </c:pt>
                <c:pt idx="2">
                  <c:v>-4.0816326530612214E-2</c:v>
                </c:pt>
                <c:pt idx="3">
                  <c:v>-0.48214285714285715</c:v>
                </c:pt>
                <c:pt idx="4">
                  <c:v>-0.58695652173913049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2A-CF4B-B01C-173041BF3424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10319104848736"/>
                  <c:y val="5.0544619422572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'1'!$G$2:$G$6</c:f>
              <c:numCache>
                <c:formatCode>General</c:formatCode>
                <c:ptCount val="5"/>
                <c:pt idx="0">
                  <c:v>6.535211267605634</c:v>
                </c:pt>
                <c:pt idx="1">
                  <c:v>3.0625000000000009</c:v>
                </c:pt>
                <c:pt idx="2">
                  <c:v>1.0408163265306123</c:v>
                </c:pt>
                <c:pt idx="3">
                  <c:v>0.39030612244897955</c:v>
                </c:pt>
                <c:pt idx="4">
                  <c:v>0.20923913043478262</c:v>
                </c:pt>
              </c:numCache>
            </c:numRef>
          </c:xVal>
          <c:yVal>
            <c:numRef>
              <c:f>'1'!$H$2:$H$6</c:f>
              <c:numCache>
                <c:formatCode>General</c:formatCode>
                <c:ptCount val="5"/>
                <c:pt idx="0">
                  <c:v>2.3661971830985915</c:v>
                </c:pt>
                <c:pt idx="1">
                  <c:v>1.0208333333333333</c:v>
                </c:pt>
                <c:pt idx="2">
                  <c:v>-4.0816326530612214E-2</c:v>
                </c:pt>
                <c:pt idx="3">
                  <c:v>-0.48214285714285715</c:v>
                </c:pt>
                <c:pt idx="4">
                  <c:v>-0.58695652173913049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2A-CF4B-B01C-173041BF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90624"/>
        <c:axId val="275525552"/>
      </c:scatterChart>
      <c:valAx>
        <c:axId val="27559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F^2 / f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25552"/>
        <c:crosses val="autoZero"/>
        <c:crossBetween val="midCat"/>
      </c:valAx>
      <c:valAx>
        <c:axId val="27552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F(f-1) / f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9062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'1'!$C$16:$C$115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'1'!$D$16:$D$115</c:f>
              <c:numCache>
                <c:formatCode>General</c:formatCode>
                <c:ptCount val="100"/>
                <c:pt idx="0">
                  <c:v>7.7314457639079681E-3</c:v>
                </c:pt>
                <c:pt idx="1">
                  <c:v>1.5268961125874718E-2</c:v>
                </c:pt>
                <c:pt idx="2">
                  <c:v>2.2626503820027826E-2</c:v>
                </c:pt>
                <c:pt idx="3">
                  <c:v>2.9817037582155457E-2</c:v>
                </c:pt>
                <c:pt idx="4">
                  <c:v>3.6852628690163487E-2</c:v>
                </c:pt>
                <c:pt idx="5">
                  <c:v>4.3744531933508302E-2</c:v>
                </c:pt>
                <c:pt idx="6">
                  <c:v>5.0503267361841325E-2</c:v>
                </c:pt>
                <c:pt idx="7">
                  <c:v>5.7138688971017315E-2</c:v>
                </c:pt>
                <c:pt idx="8">
                  <c:v>6.3660046322842209E-2</c:v>
                </c:pt>
                <c:pt idx="9">
                  <c:v>7.0076039958252567E-2</c:v>
                </c:pt>
                <c:pt idx="10">
                  <c:v>7.6394871347785803E-2</c:v>
                </c:pt>
                <c:pt idx="11">
                  <c:v>8.2624288024752135E-2</c:v>
                </c:pt>
                <c:pt idx="12">
                  <c:v>8.8771624462612039E-2</c:v>
                </c:pt>
                <c:pt idx="13">
                  <c:v>9.484383918636094E-2</c:v>
                </c:pt>
                <c:pt idx="14">
                  <c:v>0.10084754854629333</c:v>
                </c:pt>
                <c:pt idx="15">
                  <c:v>0.10678905752976463</c:v>
                </c:pt>
                <c:pt idx="16">
                  <c:v>0.11267438794116114</c:v>
                </c:pt>
                <c:pt idx="17">
                  <c:v>0.11850930424112018</c:v>
                </c:pt>
                <c:pt idx="18">
                  <c:v>0.12429933730218932</c:v>
                </c:pt>
                <c:pt idx="19">
                  <c:v>0.13004980630879909</c:v>
                </c:pt>
                <c:pt idx="20">
                  <c:v>0.13576583900399869</c:v>
                </c:pt>
                <c:pt idx="21">
                  <c:v>0.14145239046331815</c:v>
                </c:pt>
                <c:pt idx="22">
                  <c:v>0.14711426055691115</c:v>
                </c:pt>
                <c:pt idx="23">
                  <c:v>0.15275611024440977</c:v>
                </c:pt>
                <c:pt idx="24">
                  <c:v>0.15838247683235046</c:v>
                </c:pt>
                <c:pt idx="25">
                  <c:v>0.16399778831133277</c:v>
                </c:pt>
                <c:pt idx="26">
                  <c:v>0.16960637687900212</c:v>
                </c:pt>
                <c:pt idx="27">
                  <c:v>0.17521249174530815</c:v>
                </c:pt>
                <c:pt idx="28">
                  <c:v>0.18082031130810161</c:v>
                </c:pt>
                <c:pt idx="29">
                  <c:v>0.18643395477984925</c:v>
                </c:pt>
                <c:pt idx="30">
                  <c:v>0.19205749333994176</c:v>
                </c:pt>
                <c:pt idx="31">
                  <c:v>0.19769496088163543</c:v>
                </c:pt>
                <c:pt idx="32">
                  <c:v>0.20335036441801285</c:v>
                </c:pt>
                <c:pt idx="33">
                  <c:v>0.20902769420739525</c:v>
                </c:pt>
                <c:pt idx="34">
                  <c:v>0.21473093365532092</c:v>
                </c:pt>
                <c:pt idx="35">
                  <c:v>0.22046406904747015</c:v>
                </c:pt>
                <c:pt idx="36">
                  <c:v>0.2262310991657159</c:v>
                </c:pt>
                <c:pt idx="37">
                  <c:v>0.23203604483778259</c:v>
                </c:pt>
                <c:pt idx="38">
                  <c:v>0.23788295846976237</c:v>
                </c:pt>
                <c:pt idx="39">
                  <c:v>0.2437759336099585</c:v>
                </c:pt>
                <c:pt idx="40">
                  <c:v>0.24971911459217508</c:v>
                </c:pt>
                <c:pt idx="41">
                  <c:v>0.25571670630664239</c:v>
                </c:pt>
                <c:pt idx="42">
                  <c:v>0.26177298414725603</c:v>
                </c:pt>
                <c:pt idx="43">
                  <c:v>0.2678923041847161</c:v>
                </c:pt>
                <c:pt idx="44">
                  <c:v>0.27407911361648363</c:v>
                </c:pt>
                <c:pt idx="45">
                  <c:v>0.28033796154624147</c:v>
                </c:pt>
                <c:pt idx="46">
                  <c:v>0.28667351014777503</c:v>
                </c:pt>
                <c:pt idx="47">
                  <c:v>0.29309054627089048</c:v>
                </c:pt>
                <c:pt idx="48">
                  <c:v>0.29959399355020833</c:v>
                </c:pt>
                <c:pt idx="49">
                  <c:v>0.30618892508143325</c:v>
                </c:pt>
                <c:pt idx="50">
                  <c:v>0.31288057673405933</c:v>
                </c:pt>
                <c:pt idx="51">
                  <c:v>0.31967436117447628</c:v>
                </c:pt>
                <c:pt idx="52">
                  <c:v>0.32657588267915461</c:v>
                </c:pt>
                <c:pt idx="53">
                  <c:v>0.33359095282408796</c:v>
                </c:pt>
                <c:pt idx="54">
                  <c:v>0.34072560714403405</c:v>
                </c:pt>
                <c:pt idx="55">
                  <c:v>0.34798612286342867</c:v>
                </c:pt>
                <c:pt idx="56">
                  <c:v>0.35537903781026015</c:v>
                </c:pt>
                <c:pt idx="57">
                  <c:v>0.36291117063481487</c:v>
                </c:pt>
                <c:pt idx="58">
                  <c:v>0.37058964246719417</c:v>
                </c:pt>
                <c:pt idx="59">
                  <c:v>0.37842190016103056</c:v>
                </c:pt>
                <c:pt idx="60">
                  <c:v>0.38641574128610257</c:v>
                </c:pt>
                <c:pt idx="61">
                  <c:v>0.39457934104979231</c:v>
                </c:pt>
                <c:pt idx="62">
                  <c:v>0.40292128134682664</c:v>
                </c:pt>
                <c:pt idx="63">
                  <c:v>0.41145058215880248</c:v>
                </c:pt>
                <c:pt idx="64">
                  <c:v>0.42017673554997764</c:v>
                </c:pt>
                <c:pt idx="65">
                  <c:v>0.42910974253415446</c:v>
                </c:pt>
                <c:pt idx="66">
                  <c:v>0.43826015311966354</c:v>
                </c:pt>
                <c:pt idx="67">
                  <c:v>0.44763910987607292</c:v>
                </c:pt>
                <c:pt idx="68">
                  <c:v>0.45725839540795815</c:v>
                </c:pt>
                <c:pt idx="69">
                  <c:v>0.46713048416867803</c:v>
                </c:pt>
                <c:pt idx="70">
                  <c:v>0.47726859910152775</c:v>
                </c:pt>
                <c:pt idx="71">
                  <c:v>0.48768677365799668</c:v>
                </c:pt>
                <c:pt idx="72">
                  <c:v>0.49839991981441101</c:v>
                </c:pt>
                <c:pt idx="73">
                  <c:v>0.50942390279055327</c:v>
                </c:pt>
                <c:pt idx="74">
                  <c:v>0.52077562326869797</c:v>
                </c:pt>
                <c:pt idx="75">
                  <c:v>0.53247310802108427</c:v>
                </c:pt>
                <c:pt idx="76">
                  <c:v>0.54453560998069528</c:v>
                </c:pt>
                <c:pt idx="77">
                  <c:v>0.55698371893744647</c:v>
                </c:pt>
                <c:pt idx="78">
                  <c:v>0.56983948421315955</c:v>
                </c:pt>
                <c:pt idx="79">
                  <c:v>0.5831265508684863</c:v>
                </c:pt>
                <c:pt idx="80">
                  <c:v>0.59687031122859335</c:v>
                </c:pt>
                <c:pt idx="81">
                  <c:v>0.61109807378842729</c:v>
                </c:pt>
                <c:pt idx="82">
                  <c:v>0.62583925188064615</c:v>
                </c:pt>
                <c:pt idx="83">
                  <c:v>0.64112557486943633</c:v>
                </c:pt>
                <c:pt idx="84">
                  <c:v>0.65699132508325453</c:v>
                </c:pt>
                <c:pt idx="85">
                  <c:v>0.67347360423345304</c:v>
                </c:pt>
                <c:pt idx="86">
                  <c:v>0.69061263370169379</c:v>
                </c:pt>
                <c:pt idx="87">
                  <c:v>0.70845209383907048</c:v>
                </c:pt>
                <c:pt idx="88">
                  <c:v>0.72703950833149378</c:v>
                </c:pt>
                <c:pt idx="89">
                  <c:v>0.74642668078348329</c:v>
                </c:pt>
                <c:pt idx="90">
                  <c:v>0.7666701919991683</c:v>
                </c:pt>
                <c:pt idx="91">
                  <c:v>0.78783196804944189</c:v>
                </c:pt>
                <c:pt idx="92">
                  <c:v>0.80997993117672251</c:v>
                </c:pt>
                <c:pt idx="93">
                  <c:v>0.83318874799152087</c:v>
                </c:pt>
                <c:pt idx="94">
                  <c:v>0.85754069237048069</c:v>
                </c:pt>
                <c:pt idx="95">
                  <c:v>0.8831266441187523</c:v>
                </c:pt>
                <c:pt idx="96">
                  <c:v>0.91004724899842893</c:v>
                </c:pt>
                <c:pt idx="97">
                  <c:v>0.93841427139445999</c:v>
                </c:pt>
                <c:pt idx="98">
                  <c:v>0.96835217801197471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8-4643-AA5F-AAB31D1F9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969312"/>
        <c:axId val="2143039071"/>
      </c:scatterChart>
      <c:valAx>
        <c:axId val="258969312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モノマー仕込み比におけるモノマー</a:t>
                </a:r>
                <a:r>
                  <a:rPr lang="en-US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MMA</a:t>
                </a: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の割合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43039071"/>
        <c:crosses val="autoZero"/>
        <c:crossBetween val="midCat"/>
      </c:valAx>
      <c:valAx>
        <c:axId val="214303907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ポリマー中へのモノマー</a:t>
                </a:r>
                <a:r>
                  <a:rPr lang="en-US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MMA</a:t>
                </a: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の割合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5896931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10319104848736"/>
                  <c:y val="5.0544619422572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'1'!$J$2:$J$6</c:f>
              <c:numCache>
                <c:formatCode>General</c:formatCode>
                <c:ptCount val="5"/>
                <c:pt idx="0">
                  <c:v>0.30713036038457103</c:v>
                </c:pt>
                <c:pt idx="1">
                  <c:v>0.24124620898814442</c:v>
                </c:pt>
                <c:pt idx="2">
                  <c:v>-1.8470461115061721E-2</c:v>
                </c:pt>
                <c:pt idx="3">
                  <c:v>-0.30920346569641127</c:v>
                </c:pt>
                <c:pt idx="4">
                  <c:v>-0.42587422514550705</c:v>
                </c:pt>
              </c:numCache>
            </c:numRef>
          </c:xVal>
          <c:yVal>
            <c:numRef>
              <c:f>'1'!$K$2:$K$6</c:f>
              <c:numCache>
                <c:formatCode>General</c:formatCode>
                <c:ptCount val="5"/>
                <c:pt idx="0">
                  <c:v>0.84826480487167244</c:v>
                </c:pt>
                <c:pt idx="1">
                  <c:v>0.72373862696443358</c:v>
                </c:pt>
                <c:pt idx="2">
                  <c:v>0.47099675843407429</c:v>
                </c:pt>
                <c:pt idx="3">
                  <c:v>0.2503075674685234</c:v>
                </c:pt>
                <c:pt idx="4">
                  <c:v>0.15181627470464834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E-7044-BCC3-0A92C5E4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90624"/>
        <c:axId val="275525552"/>
      </c:scatterChart>
      <c:valAx>
        <c:axId val="27559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/>
                  <a:t>ξ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25552"/>
        <c:crosses val="autoZero"/>
        <c:crossBetween val="midCat"/>
      </c:valAx>
      <c:valAx>
        <c:axId val="27552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/>
                  <a:t>η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90624"/>
        <c:crossesAt val="-0.6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10319104848736"/>
                  <c:y val="5.0544619422572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'1'!$K$2:$K$6</c:f>
              <c:numCache>
                <c:formatCode>General</c:formatCode>
                <c:ptCount val="5"/>
                <c:pt idx="0">
                  <c:v>0.84826480487167244</c:v>
                </c:pt>
                <c:pt idx="1">
                  <c:v>0.72373862696443358</c:v>
                </c:pt>
                <c:pt idx="2">
                  <c:v>0.47099675843407429</c:v>
                </c:pt>
                <c:pt idx="3">
                  <c:v>0.2503075674685234</c:v>
                </c:pt>
                <c:pt idx="4">
                  <c:v>0.15181627470464834</c:v>
                </c:pt>
              </c:numCache>
            </c:numRef>
          </c:xVal>
          <c:yVal>
            <c:numRef>
              <c:f>'1'!$J$2:$J$6</c:f>
              <c:numCache>
                <c:formatCode>General</c:formatCode>
                <c:ptCount val="5"/>
                <c:pt idx="0">
                  <c:v>0.30713036038457103</c:v>
                </c:pt>
                <c:pt idx="1">
                  <c:v>0.24124620898814442</c:v>
                </c:pt>
                <c:pt idx="2">
                  <c:v>-1.8470461115061721E-2</c:v>
                </c:pt>
                <c:pt idx="3">
                  <c:v>-0.30920346569641127</c:v>
                </c:pt>
                <c:pt idx="4">
                  <c:v>-0.42587422514550705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1-6B4E-A748-42714CF7B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90624"/>
        <c:axId val="275525552"/>
      </c:scatterChart>
      <c:valAx>
        <c:axId val="27559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/>
                  <a:t>ξ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25552"/>
        <c:crosses val="autoZero"/>
        <c:crossBetween val="midCat"/>
      </c:valAx>
      <c:valAx>
        <c:axId val="27552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/>
                  <a:t>η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75590624"/>
        <c:crossesAt val="-0.6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91540</xdr:colOff>
      <xdr:row>12</xdr:row>
      <xdr:rowOff>131636</xdr:rowOff>
    </xdr:from>
    <xdr:to>
      <xdr:col>9</xdr:col>
      <xdr:colOff>857107</xdr:colOff>
      <xdr:row>23</xdr:row>
      <xdr:rowOff>77982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A931C9-2963-E472-979F-E4C10250E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42809</xdr:colOff>
      <xdr:row>25</xdr:row>
      <xdr:rowOff>236306</xdr:rowOff>
    </xdr:from>
    <xdr:to>
      <xdr:col>10</xdr:col>
      <xdr:colOff>296809</xdr:colOff>
      <xdr:row>37</xdr:row>
      <xdr:rowOff>131851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116AB3C-2978-D547-96B5-8F52CEA5B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841911</xdr:colOff>
      <xdr:row>13</xdr:row>
      <xdr:rowOff>14269</xdr:rowOff>
    </xdr:from>
    <xdr:to>
      <xdr:col>15</xdr:col>
      <xdr:colOff>651411</xdr:colOff>
      <xdr:row>23</xdr:row>
      <xdr:rowOff>217469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73AD9F6-B1C7-9C46-8751-B79FE1E3C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20</xdr:col>
      <xdr:colOff>758351</xdr:colOff>
      <xdr:row>23</xdr:row>
      <xdr:rowOff>203200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96C8FB6-09DC-034D-AE64-891F8E6BC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961A-0AA2-3A40-9535-B925CA10DF23}">
  <dimension ref="A1:S115"/>
  <sheetViews>
    <sheetView tabSelected="1" zoomScale="111" workbookViewId="0">
      <selection activeCell="S28" sqref="S28"/>
    </sheetView>
  </sheetViews>
  <sheetFormatPr baseColWidth="10" defaultRowHeight="20"/>
  <sheetData>
    <row r="1" spans="1:11">
      <c r="B1" t="s">
        <v>5</v>
      </c>
      <c r="C1" t="s">
        <v>6</v>
      </c>
      <c r="D1" t="s">
        <v>7</v>
      </c>
      <c r="E1" t="s">
        <v>8</v>
      </c>
      <c r="G1" t="s">
        <v>10</v>
      </c>
      <c r="H1" t="s">
        <v>9</v>
      </c>
      <c r="J1" t="s">
        <v>12</v>
      </c>
      <c r="K1" t="s">
        <v>11</v>
      </c>
    </row>
    <row r="2" spans="1:11">
      <c r="A2" t="s">
        <v>0</v>
      </c>
      <c r="B2">
        <v>71</v>
      </c>
      <c r="C2">
        <v>29</v>
      </c>
      <c r="D2">
        <f>80/20</f>
        <v>4</v>
      </c>
      <c r="E2">
        <f>B2/C2</f>
        <v>2.4482758620689653</v>
      </c>
      <c r="G2">
        <f>D2^2/E2</f>
        <v>6.535211267605634</v>
      </c>
      <c r="H2">
        <f>D2*(E2-1)/E2</f>
        <v>2.3661971830985915</v>
      </c>
      <c r="J2">
        <f>(D2*(E2-1)/E2)/(1.169+(D2^2/E2))</f>
        <v>0.30713036038457103</v>
      </c>
      <c r="K2">
        <f>(D2^2/E2)/(1.169+(D2^2/E2))</f>
        <v>0.84826480487167244</v>
      </c>
    </row>
    <row r="3" spans="1:11">
      <c r="A3" t="s">
        <v>1</v>
      </c>
      <c r="B3">
        <v>64</v>
      </c>
      <c r="C3">
        <v>36</v>
      </c>
      <c r="D3">
        <f>7/3</f>
        <v>2.3333333333333335</v>
      </c>
      <c r="E3">
        <f t="shared" ref="E3:E6" si="0">B3/C3</f>
        <v>1.7777777777777777</v>
      </c>
      <c r="G3">
        <f t="shared" ref="G3:G6" si="1">D3^2/E3</f>
        <v>3.0625000000000009</v>
      </c>
      <c r="H3">
        <f t="shared" ref="H3:H6" si="2">D3*(E3-1)/E3</f>
        <v>1.0208333333333333</v>
      </c>
      <c r="J3">
        <f t="shared" ref="J3:J6" si="3">(D3*(E3-1)/E3)/(1.169+(D3^2/E3))</f>
        <v>0.24124620898814442</v>
      </c>
      <c r="K3">
        <f t="shared" ref="K3:K6" si="4">(D3^2/E3)/(1.169+(D3^2/E3))</f>
        <v>0.72373862696443358</v>
      </c>
    </row>
    <row r="4" spans="1:11">
      <c r="A4" t="s">
        <v>2</v>
      </c>
      <c r="B4">
        <v>49</v>
      </c>
      <c r="C4">
        <v>51</v>
      </c>
      <c r="D4">
        <v>1</v>
      </c>
      <c r="E4">
        <f t="shared" si="0"/>
        <v>0.96078431372549022</v>
      </c>
      <c r="G4">
        <f t="shared" si="1"/>
        <v>1.0408163265306123</v>
      </c>
      <c r="H4">
        <f t="shared" si="2"/>
        <v>-4.0816326530612214E-2</v>
      </c>
      <c r="J4">
        <f t="shared" si="3"/>
        <v>-1.8470461115061721E-2</v>
      </c>
      <c r="K4">
        <f t="shared" si="4"/>
        <v>0.47099675843407429</v>
      </c>
    </row>
    <row r="5" spans="1:11">
      <c r="A5" t="s">
        <v>3</v>
      </c>
      <c r="B5">
        <v>32</v>
      </c>
      <c r="C5">
        <v>68</v>
      </c>
      <c r="D5">
        <f>3/7</f>
        <v>0.42857142857142855</v>
      </c>
      <c r="E5">
        <f t="shared" si="0"/>
        <v>0.47058823529411764</v>
      </c>
      <c r="G5">
        <f t="shared" si="1"/>
        <v>0.39030612244897955</v>
      </c>
      <c r="H5">
        <f t="shared" si="2"/>
        <v>-0.48214285714285715</v>
      </c>
      <c r="J5">
        <f t="shared" si="3"/>
        <v>-0.30920346569641127</v>
      </c>
      <c r="K5">
        <f t="shared" si="4"/>
        <v>0.2503075674685234</v>
      </c>
    </row>
    <row r="6" spans="1:11">
      <c r="A6" t="s">
        <v>4</v>
      </c>
      <c r="B6">
        <v>23</v>
      </c>
      <c r="C6">
        <v>77</v>
      </c>
      <c r="D6">
        <f>2/8</f>
        <v>0.25</v>
      </c>
      <c r="E6">
        <f t="shared" si="0"/>
        <v>0.29870129870129869</v>
      </c>
      <c r="G6">
        <f t="shared" si="1"/>
        <v>0.20923913043478262</v>
      </c>
      <c r="H6">
        <f t="shared" si="2"/>
        <v>-0.58695652173913049</v>
      </c>
      <c r="J6">
        <f t="shared" si="3"/>
        <v>-0.42587422514550705</v>
      </c>
      <c r="K6">
        <f t="shared" si="4"/>
        <v>0.15181627470464834</v>
      </c>
    </row>
    <row r="8" spans="1:11">
      <c r="G8" t="s">
        <v>13</v>
      </c>
      <c r="H8" t="s">
        <v>14</v>
      </c>
    </row>
    <row r="9" spans="1:11">
      <c r="G9">
        <f>MIN(G2:G6)</f>
        <v>0.20923913043478262</v>
      </c>
      <c r="H9">
        <f>SQRT(G9*G10)</f>
        <v>1.1693681724937601</v>
      </c>
    </row>
    <row r="10" spans="1:11">
      <c r="G10">
        <f>MAX(G2:G6)</f>
        <v>6.535211267605634</v>
      </c>
    </row>
    <row r="16" spans="1:11">
      <c r="B16">
        <v>1</v>
      </c>
      <c r="C16">
        <f>B16/100</f>
        <v>0.01</v>
      </c>
      <c r="D16">
        <f>(C16-(1-0.47)*C16)/(0.47*C16*C16+2*C16*(1-C16)+0.6*(1-C16)^2)</f>
        <v>7.7314457639079681E-3</v>
      </c>
    </row>
    <row r="17" spans="2:19">
      <c r="B17">
        <v>2</v>
      </c>
      <c r="C17">
        <f t="shared" ref="C17:C80" si="5">B17/100</f>
        <v>0.02</v>
      </c>
      <c r="D17">
        <f t="shared" ref="D17:D80" si="6">(C17-(1-0.47)*C17)/(0.47*C17*C17+2*C17*(1-C17)+0.6*(1-C17)^2)</f>
        <v>1.5268961125874718E-2</v>
      </c>
    </row>
    <row r="18" spans="2:19">
      <c r="B18">
        <v>3</v>
      </c>
      <c r="C18">
        <f t="shared" si="5"/>
        <v>0.03</v>
      </c>
      <c r="D18">
        <f t="shared" si="6"/>
        <v>2.2626503820027826E-2</v>
      </c>
    </row>
    <row r="19" spans="2:19">
      <c r="B19">
        <v>4</v>
      </c>
      <c r="C19">
        <f t="shared" si="5"/>
        <v>0.04</v>
      </c>
      <c r="D19">
        <f t="shared" si="6"/>
        <v>2.9817037582155457E-2</v>
      </c>
    </row>
    <row r="20" spans="2:19">
      <c r="B20">
        <v>5</v>
      </c>
      <c r="C20">
        <f t="shared" si="5"/>
        <v>0.05</v>
      </c>
      <c r="D20">
        <f t="shared" si="6"/>
        <v>3.6852628690163487E-2</v>
      </c>
    </row>
    <row r="21" spans="2:19">
      <c r="B21">
        <v>6</v>
      </c>
      <c r="C21">
        <f t="shared" si="5"/>
        <v>0.06</v>
      </c>
      <c r="D21">
        <f t="shared" si="6"/>
        <v>4.3744531933508302E-2</v>
      </c>
    </row>
    <row r="22" spans="2:19">
      <c r="B22">
        <v>7</v>
      </c>
      <c r="C22">
        <f t="shared" si="5"/>
        <v>7.0000000000000007E-2</v>
      </c>
      <c r="D22">
        <f t="shared" si="6"/>
        <v>5.0503267361841325E-2</v>
      </c>
    </row>
    <row r="23" spans="2:19">
      <c r="B23">
        <v>8</v>
      </c>
      <c r="C23">
        <f t="shared" si="5"/>
        <v>0.08</v>
      </c>
      <c r="D23">
        <f t="shared" si="6"/>
        <v>5.7138688971017315E-2</v>
      </c>
    </row>
    <row r="24" spans="2:19">
      <c r="B24">
        <v>9</v>
      </c>
      <c r="C24">
        <f t="shared" si="5"/>
        <v>0.09</v>
      </c>
      <c r="D24">
        <f t="shared" si="6"/>
        <v>6.3660046322842209E-2</v>
      </c>
    </row>
    <row r="25" spans="2:19">
      <c r="B25">
        <v>10</v>
      </c>
      <c r="C25">
        <f t="shared" si="5"/>
        <v>0.1</v>
      </c>
      <c r="D25">
        <f t="shared" si="6"/>
        <v>7.0076039958252567E-2</v>
      </c>
    </row>
    <row r="26" spans="2:19">
      <c r="B26">
        <v>11</v>
      </c>
      <c r="C26">
        <f t="shared" si="5"/>
        <v>0.11</v>
      </c>
      <c r="D26">
        <f t="shared" si="6"/>
        <v>7.6394871347785803E-2</v>
      </c>
      <c r="R26" t="s">
        <v>15</v>
      </c>
      <c r="S26" t="s">
        <v>16</v>
      </c>
    </row>
    <row r="27" spans="2:19">
      <c r="B27">
        <v>12</v>
      </c>
      <c r="C27">
        <f t="shared" si="5"/>
        <v>0.12</v>
      </c>
      <c r="D27">
        <f t="shared" si="6"/>
        <v>8.2624288024752135E-2</v>
      </c>
      <c r="R27">
        <f>1.0832-0.5707</f>
        <v>0.51249999999999996</v>
      </c>
      <c r="S27">
        <f>H9*0.5707</f>
        <v>0.66735841604218893</v>
      </c>
    </row>
    <row r="28" spans="2:19">
      <c r="B28">
        <v>13</v>
      </c>
      <c r="C28">
        <f t="shared" si="5"/>
        <v>0.13</v>
      </c>
      <c r="D28">
        <f t="shared" si="6"/>
        <v>8.8771624462612039E-2</v>
      </c>
    </row>
    <row r="29" spans="2:19">
      <c r="B29">
        <v>14</v>
      </c>
      <c r="C29">
        <f t="shared" si="5"/>
        <v>0.14000000000000001</v>
      </c>
      <c r="D29">
        <f t="shared" si="6"/>
        <v>9.484383918636094E-2</v>
      </c>
    </row>
    <row r="30" spans="2:19">
      <c r="B30">
        <v>15</v>
      </c>
      <c r="C30">
        <f t="shared" si="5"/>
        <v>0.15</v>
      </c>
      <c r="D30">
        <f t="shared" si="6"/>
        <v>0.10084754854629333</v>
      </c>
    </row>
    <row r="31" spans="2:19">
      <c r="B31">
        <v>16</v>
      </c>
      <c r="C31">
        <f t="shared" si="5"/>
        <v>0.16</v>
      </c>
      <c r="D31">
        <f t="shared" si="6"/>
        <v>0.10678905752976463</v>
      </c>
    </row>
    <row r="32" spans="2:19">
      <c r="B32">
        <v>17</v>
      </c>
      <c r="C32">
        <f t="shared" si="5"/>
        <v>0.17</v>
      </c>
      <c r="D32">
        <f t="shared" si="6"/>
        <v>0.11267438794116114</v>
      </c>
    </row>
    <row r="33" spans="2:4">
      <c r="B33">
        <v>18</v>
      </c>
      <c r="C33">
        <f t="shared" si="5"/>
        <v>0.18</v>
      </c>
      <c r="D33">
        <f t="shared" si="6"/>
        <v>0.11850930424112018</v>
      </c>
    </row>
    <row r="34" spans="2:4">
      <c r="B34">
        <v>19</v>
      </c>
      <c r="C34">
        <f t="shared" si="5"/>
        <v>0.19</v>
      </c>
      <c r="D34">
        <f t="shared" si="6"/>
        <v>0.12429933730218932</v>
      </c>
    </row>
    <row r="35" spans="2:4">
      <c r="B35">
        <v>20</v>
      </c>
      <c r="C35">
        <f t="shared" si="5"/>
        <v>0.2</v>
      </c>
      <c r="D35">
        <f t="shared" si="6"/>
        <v>0.13004980630879909</v>
      </c>
    </row>
    <row r="36" spans="2:4">
      <c r="B36">
        <v>21</v>
      </c>
      <c r="C36">
        <f t="shared" si="5"/>
        <v>0.21</v>
      </c>
      <c r="D36">
        <f t="shared" si="6"/>
        <v>0.13576583900399869</v>
      </c>
    </row>
    <row r="37" spans="2:4">
      <c r="B37">
        <v>22</v>
      </c>
      <c r="C37">
        <f t="shared" si="5"/>
        <v>0.22</v>
      </c>
      <c r="D37">
        <f t="shared" si="6"/>
        <v>0.14145239046331815</v>
      </c>
    </row>
    <row r="38" spans="2:4">
      <c r="B38">
        <v>23</v>
      </c>
      <c r="C38">
        <f t="shared" si="5"/>
        <v>0.23</v>
      </c>
      <c r="D38">
        <f t="shared" si="6"/>
        <v>0.14711426055691115</v>
      </c>
    </row>
    <row r="39" spans="2:4">
      <c r="B39">
        <v>24</v>
      </c>
      <c r="C39">
        <f t="shared" si="5"/>
        <v>0.24</v>
      </c>
      <c r="D39">
        <f t="shared" si="6"/>
        <v>0.15275611024440977</v>
      </c>
    </row>
    <row r="40" spans="2:4">
      <c r="B40">
        <v>25</v>
      </c>
      <c r="C40">
        <f t="shared" si="5"/>
        <v>0.25</v>
      </c>
      <c r="D40">
        <f t="shared" si="6"/>
        <v>0.15838247683235046</v>
      </c>
    </row>
    <row r="41" spans="2:4">
      <c r="B41">
        <v>26</v>
      </c>
      <c r="C41">
        <f t="shared" si="5"/>
        <v>0.26</v>
      </c>
      <c r="D41">
        <f t="shared" si="6"/>
        <v>0.16399778831133277</v>
      </c>
    </row>
    <row r="42" spans="2:4">
      <c r="B42">
        <v>27</v>
      </c>
      <c r="C42">
        <f t="shared" si="5"/>
        <v>0.27</v>
      </c>
      <c r="D42">
        <f t="shared" si="6"/>
        <v>0.16960637687900212</v>
      </c>
    </row>
    <row r="43" spans="2:4">
      <c r="B43">
        <v>28</v>
      </c>
      <c r="C43">
        <f t="shared" si="5"/>
        <v>0.28000000000000003</v>
      </c>
      <c r="D43">
        <f t="shared" si="6"/>
        <v>0.17521249174530815</v>
      </c>
    </row>
    <row r="44" spans="2:4">
      <c r="B44">
        <v>29</v>
      </c>
      <c r="C44">
        <f t="shared" si="5"/>
        <v>0.28999999999999998</v>
      </c>
      <c r="D44">
        <f t="shared" si="6"/>
        <v>0.18082031130810161</v>
      </c>
    </row>
    <row r="45" spans="2:4">
      <c r="B45">
        <v>30</v>
      </c>
      <c r="C45">
        <f t="shared" si="5"/>
        <v>0.3</v>
      </c>
      <c r="D45">
        <f t="shared" si="6"/>
        <v>0.18643395477984925</v>
      </c>
    </row>
    <row r="46" spans="2:4">
      <c r="B46">
        <v>31</v>
      </c>
      <c r="C46">
        <f t="shared" si="5"/>
        <v>0.31</v>
      </c>
      <c r="D46">
        <f t="shared" si="6"/>
        <v>0.19205749333994176</v>
      </c>
    </row>
    <row r="47" spans="2:4">
      <c r="B47">
        <v>32</v>
      </c>
      <c r="C47">
        <f t="shared" si="5"/>
        <v>0.32</v>
      </c>
      <c r="D47">
        <f t="shared" si="6"/>
        <v>0.19769496088163543</v>
      </c>
    </row>
    <row r="48" spans="2:4">
      <c r="B48">
        <v>33</v>
      </c>
      <c r="C48">
        <f t="shared" si="5"/>
        <v>0.33</v>
      </c>
      <c r="D48">
        <f t="shared" si="6"/>
        <v>0.20335036441801285</v>
      </c>
    </row>
    <row r="49" spans="2:4">
      <c r="B49">
        <v>34</v>
      </c>
      <c r="C49">
        <f t="shared" si="5"/>
        <v>0.34</v>
      </c>
      <c r="D49">
        <f t="shared" si="6"/>
        <v>0.20902769420739525</v>
      </c>
    </row>
    <row r="50" spans="2:4">
      <c r="B50">
        <v>35</v>
      </c>
      <c r="C50">
        <f t="shared" si="5"/>
        <v>0.35</v>
      </c>
      <c r="D50">
        <f t="shared" si="6"/>
        <v>0.21473093365532092</v>
      </c>
    </row>
    <row r="51" spans="2:4">
      <c r="B51">
        <v>36</v>
      </c>
      <c r="C51">
        <f t="shared" si="5"/>
        <v>0.36</v>
      </c>
      <c r="D51">
        <f t="shared" si="6"/>
        <v>0.22046406904747015</v>
      </c>
    </row>
    <row r="52" spans="2:4">
      <c r="B52">
        <v>37</v>
      </c>
      <c r="C52">
        <f t="shared" si="5"/>
        <v>0.37</v>
      </c>
      <c r="D52">
        <f t="shared" si="6"/>
        <v>0.2262310991657159</v>
      </c>
    </row>
    <row r="53" spans="2:4">
      <c r="B53">
        <v>38</v>
      </c>
      <c r="C53">
        <f t="shared" si="5"/>
        <v>0.38</v>
      </c>
      <c r="D53">
        <f t="shared" si="6"/>
        <v>0.23203604483778259</v>
      </c>
    </row>
    <row r="54" spans="2:4">
      <c r="B54">
        <v>39</v>
      </c>
      <c r="C54">
        <f t="shared" si="5"/>
        <v>0.39</v>
      </c>
      <c r="D54">
        <f t="shared" si="6"/>
        <v>0.23788295846976237</v>
      </c>
    </row>
    <row r="55" spans="2:4">
      <c r="B55">
        <v>40</v>
      </c>
      <c r="C55">
        <f t="shared" si="5"/>
        <v>0.4</v>
      </c>
      <c r="D55">
        <f t="shared" si="6"/>
        <v>0.2437759336099585</v>
      </c>
    </row>
    <row r="56" spans="2:4">
      <c r="B56">
        <v>41</v>
      </c>
      <c r="C56">
        <f t="shared" si="5"/>
        <v>0.41</v>
      </c>
      <c r="D56">
        <f t="shared" si="6"/>
        <v>0.24971911459217508</v>
      </c>
    </row>
    <row r="57" spans="2:4">
      <c r="B57">
        <v>42</v>
      </c>
      <c r="C57">
        <f t="shared" si="5"/>
        <v>0.42</v>
      </c>
      <c r="D57">
        <f t="shared" si="6"/>
        <v>0.25571670630664239</v>
      </c>
    </row>
    <row r="58" spans="2:4">
      <c r="B58">
        <v>43</v>
      </c>
      <c r="C58">
        <f t="shared" si="5"/>
        <v>0.43</v>
      </c>
      <c r="D58">
        <f t="shared" si="6"/>
        <v>0.26177298414725603</v>
      </c>
    </row>
    <row r="59" spans="2:4">
      <c r="B59">
        <v>44</v>
      </c>
      <c r="C59">
        <f t="shared" si="5"/>
        <v>0.44</v>
      </c>
      <c r="D59">
        <f t="shared" si="6"/>
        <v>0.2678923041847161</v>
      </c>
    </row>
    <row r="60" spans="2:4">
      <c r="B60">
        <v>45</v>
      </c>
      <c r="C60">
        <f t="shared" si="5"/>
        <v>0.45</v>
      </c>
      <c r="D60">
        <f t="shared" si="6"/>
        <v>0.27407911361648363</v>
      </c>
    </row>
    <row r="61" spans="2:4">
      <c r="B61">
        <v>46</v>
      </c>
      <c r="C61">
        <f t="shared" si="5"/>
        <v>0.46</v>
      </c>
      <c r="D61">
        <f t="shared" si="6"/>
        <v>0.28033796154624147</v>
      </c>
    </row>
    <row r="62" spans="2:4">
      <c r="B62">
        <v>47</v>
      </c>
      <c r="C62">
        <f t="shared" si="5"/>
        <v>0.47</v>
      </c>
      <c r="D62">
        <f t="shared" si="6"/>
        <v>0.28667351014777503</v>
      </c>
    </row>
    <row r="63" spans="2:4">
      <c r="B63">
        <v>48</v>
      </c>
      <c r="C63">
        <f t="shared" si="5"/>
        <v>0.48</v>
      </c>
      <c r="D63">
        <f t="shared" si="6"/>
        <v>0.29309054627089048</v>
      </c>
    </row>
    <row r="64" spans="2:4">
      <c r="B64">
        <v>49</v>
      </c>
      <c r="C64">
        <f t="shared" si="5"/>
        <v>0.49</v>
      </c>
      <c r="D64">
        <f t="shared" si="6"/>
        <v>0.29959399355020833</v>
      </c>
    </row>
    <row r="65" spans="2:4">
      <c r="B65">
        <v>50</v>
      </c>
      <c r="C65">
        <f t="shared" si="5"/>
        <v>0.5</v>
      </c>
      <c r="D65">
        <f t="shared" si="6"/>
        <v>0.30618892508143325</v>
      </c>
    </row>
    <row r="66" spans="2:4">
      <c r="B66">
        <v>51</v>
      </c>
      <c r="C66">
        <f t="shared" si="5"/>
        <v>0.51</v>
      </c>
      <c r="D66">
        <f t="shared" si="6"/>
        <v>0.31288057673405933</v>
      </c>
    </row>
    <row r="67" spans="2:4">
      <c r="B67">
        <v>52</v>
      </c>
      <c r="C67">
        <f t="shared" si="5"/>
        <v>0.52</v>
      </c>
      <c r="D67">
        <f t="shared" si="6"/>
        <v>0.31967436117447628</v>
      </c>
    </row>
    <row r="68" spans="2:4">
      <c r="B68">
        <v>53</v>
      </c>
      <c r="C68">
        <f t="shared" si="5"/>
        <v>0.53</v>
      </c>
      <c r="D68">
        <f t="shared" si="6"/>
        <v>0.32657588267915461</v>
      </c>
    </row>
    <row r="69" spans="2:4">
      <c r="B69">
        <v>54</v>
      </c>
      <c r="C69">
        <f t="shared" si="5"/>
        <v>0.54</v>
      </c>
      <c r="D69">
        <f t="shared" si="6"/>
        <v>0.33359095282408796</v>
      </c>
    </row>
    <row r="70" spans="2:4">
      <c r="B70">
        <v>55</v>
      </c>
      <c r="C70">
        <f t="shared" si="5"/>
        <v>0.55000000000000004</v>
      </c>
      <c r="D70">
        <f t="shared" si="6"/>
        <v>0.34072560714403405</v>
      </c>
    </row>
    <row r="71" spans="2:4">
      <c r="B71">
        <v>56</v>
      </c>
      <c r="C71">
        <f t="shared" si="5"/>
        <v>0.56000000000000005</v>
      </c>
      <c r="D71">
        <f t="shared" si="6"/>
        <v>0.34798612286342867</v>
      </c>
    </row>
    <row r="72" spans="2:4">
      <c r="B72">
        <v>57</v>
      </c>
      <c r="C72">
        <f t="shared" si="5"/>
        <v>0.56999999999999995</v>
      </c>
      <c r="D72">
        <f t="shared" si="6"/>
        <v>0.35537903781026015</v>
      </c>
    </row>
    <row r="73" spans="2:4">
      <c r="B73">
        <v>58</v>
      </c>
      <c r="C73">
        <f t="shared" si="5"/>
        <v>0.57999999999999996</v>
      </c>
      <c r="D73">
        <f t="shared" si="6"/>
        <v>0.36291117063481487</v>
      </c>
    </row>
    <row r="74" spans="2:4">
      <c r="B74">
        <v>59</v>
      </c>
      <c r="C74">
        <f t="shared" si="5"/>
        <v>0.59</v>
      </c>
      <c r="D74">
        <f t="shared" si="6"/>
        <v>0.37058964246719417</v>
      </c>
    </row>
    <row r="75" spans="2:4">
      <c r="B75">
        <v>60</v>
      </c>
      <c r="C75">
        <f t="shared" si="5"/>
        <v>0.6</v>
      </c>
      <c r="D75">
        <f t="shared" si="6"/>
        <v>0.37842190016103056</v>
      </c>
    </row>
    <row r="76" spans="2:4">
      <c r="B76">
        <v>61</v>
      </c>
      <c r="C76">
        <f t="shared" si="5"/>
        <v>0.61</v>
      </c>
      <c r="D76">
        <f t="shared" si="6"/>
        <v>0.38641574128610257</v>
      </c>
    </row>
    <row r="77" spans="2:4">
      <c r="B77">
        <v>62</v>
      </c>
      <c r="C77">
        <f t="shared" si="5"/>
        <v>0.62</v>
      </c>
      <c r="D77">
        <f t="shared" si="6"/>
        <v>0.39457934104979231</v>
      </c>
    </row>
    <row r="78" spans="2:4">
      <c r="B78">
        <v>63</v>
      </c>
      <c r="C78">
        <f t="shared" si="5"/>
        <v>0.63</v>
      </c>
      <c r="D78">
        <f t="shared" si="6"/>
        <v>0.40292128134682664</v>
      </c>
    </row>
    <row r="79" spans="2:4">
      <c r="B79">
        <v>64</v>
      </c>
      <c r="C79">
        <f t="shared" si="5"/>
        <v>0.64</v>
      </c>
      <c r="D79">
        <f t="shared" si="6"/>
        <v>0.41145058215880248</v>
      </c>
    </row>
    <row r="80" spans="2:4">
      <c r="B80">
        <v>65</v>
      </c>
      <c r="C80">
        <f t="shared" si="5"/>
        <v>0.65</v>
      </c>
      <c r="D80">
        <f t="shared" si="6"/>
        <v>0.42017673554997764</v>
      </c>
    </row>
    <row r="81" spans="2:4">
      <c r="B81">
        <v>66</v>
      </c>
      <c r="C81">
        <f t="shared" ref="C81:C115" si="7">B81/100</f>
        <v>0.66</v>
      </c>
      <c r="D81">
        <f t="shared" ref="D81:D115" si="8">(C81-(1-0.47)*C81)/(0.47*C81*C81+2*C81*(1-C81)+0.6*(1-C81)^2)</f>
        <v>0.42910974253415446</v>
      </c>
    </row>
    <row r="82" spans="2:4">
      <c r="B82">
        <v>67</v>
      </c>
      <c r="C82">
        <f t="shared" si="7"/>
        <v>0.67</v>
      </c>
      <c r="D82">
        <f t="shared" si="8"/>
        <v>0.43826015311966354</v>
      </c>
    </row>
    <row r="83" spans="2:4">
      <c r="B83">
        <v>68</v>
      </c>
      <c r="C83">
        <f t="shared" si="7"/>
        <v>0.68</v>
      </c>
      <c r="D83">
        <f t="shared" si="8"/>
        <v>0.44763910987607292</v>
      </c>
    </row>
    <row r="84" spans="2:4">
      <c r="B84">
        <v>69</v>
      </c>
      <c r="C84">
        <f t="shared" si="7"/>
        <v>0.69</v>
      </c>
      <c r="D84">
        <f t="shared" si="8"/>
        <v>0.45725839540795815</v>
      </c>
    </row>
    <row r="85" spans="2:4">
      <c r="B85">
        <v>70</v>
      </c>
      <c r="C85">
        <f t="shared" si="7"/>
        <v>0.7</v>
      </c>
      <c r="D85">
        <f t="shared" si="8"/>
        <v>0.46713048416867803</v>
      </c>
    </row>
    <row r="86" spans="2:4">
      <c r="B86">
        <v>71</v>
      </c>
      <c r="C86">
        <f t="shared" si="7"/>
        <v>0.71</v>
      </c>
      <c r="D86">
        <f t="shared" si="8"/>
        <v>0.47726859910152775</v>
      </c>
    </row>
    <row r="87" spans="2:4">
      <c r="B87">
        <v>72</v>
      </c>
      <c r="C87">
        <f t="shared" si="7"/>
        <v>0.72</v>
      </c>
      <c r="D87">
        <f t="shared" si="8"/>
        <v>0.48768677365799668</v>
      </c>
    </row>
    <row r="88" spans="2:4">
      <c r="B88">
        <v>73</v>
      </c>
      <c r="C88">
        <f t="shared" si="7"/>
        <v>0.73</v>
      </c>
      <c r="D88">
        <f t="shared" si="8"/>
        <v>0.49839991981441101</v>
      </c>
    </row>
    <row r="89" spans="2:4">
      <c r="B89">
        <v>74</v>
      </c>
      <c r="C89">
        <f t="shared" si="7"/>
        <v>0.74</v>
      </c>
      <c r="D89">
        <f t="shared" si="8"/>
        <v>0.50942390279055327</v>
      </c>
    </row>
    <row r="90" spans="2:4">
      <c r="B90">
        <v>75</v>
      </c>
      <c r="C90">
        <f t="shared" si="7"/>
        <v>0.75</v>
      </c>
      <c r="D90">
        <f t="shared" si="8"/>
        <v>0.52077562326869797</v>
      </c>
    </row>
    <row r="91" spans="2:4">
      <c r="B91">
        <v>76</v>
      </c>
      <c r="C91">
        <f t="shared" si="7"/>
        <v>0.76</v>
      </c>
      <c r="D91">
        <f t="shared" si="8"/>
        <v>0.53247310802108427</v>
      </c>
    </row>
    <row r="92" spans="2:4">
      <c r="B92">
        <v>77</v>
      </c>
      <c r="C92">
        <f t="shared" si="7"/>
        <v>0.77</v>
      </c>
      <c r="D92">
        <f t="shared" si="8"/>
        <v>0.54453560998069528</v>
      </c>
    </row>
    <row r="93" spans="2:4">
      <c r="B93">
        <v>78</v>
      </c>
      <c r="C93">
        <f t="shared" si="7"/>
        <v>0.78</v>
      </c>
      <c r="D93">
        <f t="shared" si="8"/>
        <v>0.55698371893744647</v>
      </c>
    </row>
    <row r="94" spans="2:4">
      <c r="B94">
        <v>79</v>
      </c>
      <c r="C94">
        <f t="shared" si="7"/>
        <v>0.79</v>
      </c>
      <c r="D94">
        <f t="shared" si="8"/>
        <v>0.56983948421315955</v>
      </c>
    </row>
    <row r="95" spans="2:4">
      <c r="B95">
        <v>80</v>
      </c>
      <c r="C95">
        <f t="shared" si="7"/>
        <v>0.8</v>
      </c>
      <c r="D95">
        <f t="shared" si="8"/>
        <v>0.5831265508684863</v>
      </c>
    </row>
    <row r="96" spans="2:4">
      <c r="B96">
        <v>81</v>
      </c>
      <c r="C96">
        <f t="shared" si="7"/>
        <v>0.81</v>
      </c>
      <c r="D96">
        <f t="shared" si="8"/>
        <v>0.59687031122859335</v>
      </c>
    </row>
    <row r="97" spans="2:4">
      <c r="B97">
        <v>82</v>
      </c>
      <c r="C97">
        <f t="shared" si="7"/>
        <v>0.82</v>
      </c>
      <c r="D97">
        <f t="shared" si="8"/>
        <v>0.61109807378842729</v>
      </c>
    </row>
    <row r="98" spans="2:4">
      <c r="B98">
        <v>83</v>
      </c>
      <c r="C98">
        <f t="shared" si="7"/>
        <v>0.83</v>
      </c>
      <c r="D98">
        <f t="shared" si="8"/>
        <v>0.62583925188064615</v>
      </c>
    </row>
    <row r="99" spans="2:4">
      <c r="B99">
        <v>84</v>
      </c>
      <c r="C99">
        <f t="shared" si="7"/>
        <v>0.84</v>
      </c>
      <c r="D99">
        <f t="shared" si="8"/>
        <v>0.64112557486943633</v>
      </c>
    </row>
    <row r="100" spans="2:4">
      <c r="B100">
        <v>85</v>
      </c>
      <c r="C100">
        <f t="shared" si="7"/>
        <v>0.85</v>
      </c>
      <c r="D100">
        <f t="shared" si="8"/>
        <v>0.65699132508325453</v>
      </c>
    </row>
    <row r="101" spans="2:4">
      <c r="B101">
        <v>86</v>
      </c>
      <c r="C101">
        <f t="shared" si="7"/>
        <v>0.86</v>
      </c>
      <c r="D101">
        <f t="shared" si="8"/>
        <v>0.67347360423345304</v>
      </c>
    </row>
    <row r="102" spans="2:4">
      <c r="B102">
        <v>87</v>
      </c>
      <c r="C102">
        <f t="shared" si="7"/>
        <v>0.87</v>
      </c>
      <c r="D102">
        <f t="shared" si="8"/>
        <v>0.69061263370169379</v>
      </c>
    </row>
    <row r="103" spans="2:4">
      <c r="B103">
        <v>88</v>
      </c>
      <c r="C103">
        <f t="shared" si="7"/>
        <v>0.88</v>
      </c>
      <c r="D103">
        <f t="shared" si="8"/>
        <v>0.70845209383907048</v>
      </c>
    </row>
    <row r="104" spans="2:4">
      <c r="B104">
        <v>89</v>
      </c>
      <c r="C104">
        <f t="shared" si="7"/>
        <v>0.89</v>
      </c>
      <c r="D104">
        <f t="shared" si="8"/>
        <v>0.72703950833149378</v>
      </c>
    </row>
    <row r="105" spans="2:4">
      <c r="B105">
        <v>90</v>
      </c>
      <c r="C105">
        <f t="shared" si="7"/>
        <v>0.9</v>
      </c>
      <c r="D105">
        <f t="shared" si="8"/>
        <v>0.74642668078348329</v>
      </c>
    </row>
    <row r="106" spans="2:4">
      <c r="B106">
        <v>91</v>
      </c>
      <c r="C106">
        <f t="shared" si="7"/>
        <v>0.91</v>
      </c>
      <c r="D106">
        <f t="shared" si="8"/>
        <v>0.7666701919991683</v>
      </c>
    </row>
    <row r="107" spans="2:4">
      <c r="B107">
        <v>92</v>
      </c>
      <c r="C107">
        <f t="shared" si="7"/>
        <v>0.92</v>
      </c>
      <c r="D107">
        <f t="shared" si="8"/>
        <v>0.78783196804944189</v>
      </c>
    </row>
    <row r="108" spans="2:4">
      <c r="B108">
        <v>93</v>
      </c>
      <c r="C108">
        <f t="shared" si="7"/>
        <v>0.93</v>
      </c>
      <c r="D108">
        <f t="shared" si="8"/>
        <v>0.80997993117672251</v>
      </c>
    </row>
    <row r="109" spans="2:4">
      <c r="B109">
        <v>94</v>
      </c>
      <c r="C109">
        <f t="shared" si="7"/>
        <v>0.94</v>
      </c>
      <c r="D109">
        <f t="shared" si="8"/>
        <v>0.83318874799152087</v>
      </c>
    </row>
    <row r="110" spans="2:4">
      <c r="B110">
        <v>95</v>
      </c>
      <c r="C110">
        <f t="shared" si="7"/>
        <v>0.95</v>
      </c>
      <c r="D110">
        <f t="shared" si="8"/>
        <v>0.85754069237048069</v>
      </c>
    </row>
    <row r="111" spans="2:4">
      <c r="B111">
        <v>96</v>
      </c>
      <c r="C111">
        <f t="shared" si="7"/>
        <v>0.96</v>
      </c>
      <c r="D111">
        <f t="shared" si="8"/>
        <v>0.8831266441187523</v>
      </c>
    </row>
    <row r="112" spans="2:4">
      <c r="B112">
        <v>97</v>
      </c>
      <c r="C112">
        <f t="shared" si="7"/>
        <v>0.97</v>
      </c>
      <c r="D112">
        <f t="shared" si="8"/>
        <v>0.91004724899842893</v>
      </c>
    </row>
    <row r="113" spans="2:4">
      <c r="B113">
        <v>98</v>
      </c>
      <c r="C113">
        <f t="shared" si="7"/>
        <v>0.98</v>
      </c>
      <c r="D113">
        <f t="shared" si="8"/>
        <v>0.93841427139445999</v>
      </c>
    </row>
    <row r="114" spans="2:4">
      <c r="B114">
        <v>99</v>
      </c>
      <c r="C114">
        <f t="shared" si="7"/>
        <v>0.99</v>
      </c>
      <c r="D114">
        <f t="shared" si="8"/>
        <v>0.96835217801197471</v>
      </c>
    </row>
    <row r="115" spans="2:4">
      <c r="B115">
        <v>100</v>
      </c>
      <c r="C115">
        <f t="shared" si="7"/>
        <v>1</v>
      </c>
      <c r="D115">
        <f t="shared" si="8"/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2024-01-30T07:13:39Z</dcterms:created>
  <dcterms:modified xsi:type="dcterms:W3CDTF">2024-01-31T14:58:59Z</dcterms:modified>
</cp:coreProperties>
</file>