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teee/univ/latex/化学生命工学実験3/生命工学実験/遺伝子組み換え実験/data/"/>
    </mc:Choice>
  </mc:AlternateContent>
  <xr:revisionPtr revIDLastSave="0" documentId="13_ncr:1_{BD5186BD-AC55-DB4B-9AFC-E6FD95F82730}" xr6:coauthVersionLast="47" xr6:coauthVersionMax="47" xr10:uidLastSave="{00000000-0000-0000-0000-000000000000}"/>
  <bookViews>
    <workbookView xWindow="3080" yWindow="3360" windowWidth="28800" windowHeight="17500" xr2:uid="{4CC62203-0F20-F140-A9E1-BC852EF2F9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F16" i="1"/>
  <c r="G18" i="1"/>
  <c r="F17" i="1"/>
  <c r="F18" i="1"/>
  <c r="C42" i="1"/>
  <c r="B41" i="1"/>
  <c r="C41" i="1"/>
  <c r="B42" i="1"/>
  <c r="C43" i="1"/>
  <c r="A42" i="1"/>
  <c r="A41" i="1"/>
  <c r="C33" i="1"/>
  <c r="C32" i="1"/>
  <c r="C31" i="1"/>
  <c r="C30" i="1"/>
  <c r="C29" i="1"/>
  <c r="C28" i="1"/>
  <c r="C27" i="1"/>
  <c r="C26" i="1"/>
  <c r="C25" i="1"/>
  <c r="C24" i="1"/>
  <c r="C4" i="1"/>
  <c r="C5" i="1"/>
  <c r="C6" i="1"/>
  <c r="C7" i="1"/>
  <c r="C8" i="1"/>
  <c r="C9" i="1"/>
  <c r="C10" i="1"/>
  <c r="C11" i="1"/>
  <c r="C3" i="1"/>
</calcChain>
</file>

<file path=xl/sharedStrings.xml><?xml version="1.0" encoding="utf-8"?>
<sst xmlns="http://schemas.openxmlformats.org/spreadsheetml/2006/main" count="12" uniqueCount="11">
  <si>
    <t>Ligation_befor</t>
    <phoneticPr fontId="1"/>
  </si>
  <si>
    <t>len</t>
    <phoneticPr fontId="1"/>
  </si>
  <si>
    <t>distance</t>
    <phoneticPr fontId="1"/>
  </si>
  <si>
    <t>P,E,G</t>
    <phoneticPr fontId="1"/>
  </si>
  <si>
    <t>P, E</t>
    <phoneticPr fontId="1"/>
  </si>
  <si>
    <t>P, G</t>
    <phoneticPr fontId="1"/>
  </si>
  <si>
    <t>制限酵素処理</t>
    <rPh sb="0" eb="2">
      <t xml:space="preserve">セイゲン </t>
    </rPh>
    <rPh sb="2" eb="4">
      <t xml:space="preserve">コウソ </t>
    </rPh>
    <rPh sb="4" eb="6">
      <t xml:space="preserve">ショリ </t>
    </rPh>
    <phoneticPr fontId="1"/>
  </si>
  <si>
    <t>length</t>
    <phoneticPr fontId="1"/>
  </si>
  <si>
    <t>EGFP</t>
    <phoneticPr fontId="1"/>
  </si>
  <si>
    <t>GABA</t>
    <phoneticPr fontId="1"/>
  </si>
  <si>
    <t>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</si>
</sst>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963456402475122"/>
                  <c:y val="-0.251280986038075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Sheet1!$A$3:$A$12</c:f>
              <c:numCache>
                <c:formatCode>General</c:formatCode>
                <c:ptCount val="10"/>
                <c:pt idx="0">
                  <c:v>131</c:v>
                </c:pt>
                <c:pt idx="1">
                  <c:v>145</c:v>
                </c:pt>
                <c:pt idx="2">
                  <c:v>161</c:v>
                </c:pt>
                <c:pt idx="3">
                  <c:v>174</c:v>
                </c:pt>
                <c:pt idx="4">
                  <c:v>189</c:v>
                </c:pt>
                <c:pt idx="5">
                  <c:v>207</c:v>
                </c:pt>
                <c:pt idx="6">
                  <c:v>238</c:v>
                </c:pt>
                <c:pt idx="7">
                  <c:v>258</c:v>
                </c:pt>
                <c:pt idx="8">
                  <c:v>285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1</c:v>
                </c:pt>
                <c:pt idx="1">
                  <c:v>0.90308998699194354</c:v>
                </c:pt>
                <c:pt idx="2">
                  <c:v>0.77815125038364363</c:v>
                </c:pt>
                <c:pt idx="3">
                  <c:v>0.69897000433601886</c:v>
                </c:pt>
                <c:pt idx="4">
                  <c:v>0.6020599913279624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0.17609125905568124</c:v>
                </c:pt>
                <c:pt idx="8">
                  <c:v>7.9181246047624818E-2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73-0548-B095-D330D5B18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6940256"/>
        <c:axId val="648288624"/>
      </c:scatterChart>
      <c:valAx>
        <c:axId val="856940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泳動距離</a:t>
                </a:r>
                <a:r>
                  <a:rPr lang="en-US" altLang="ja-JP"/>
                  <a:t>(px)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48288624"/>
        <c:crosses val="autoZero"/>
        <c:crossBetween val="midCat"/>
      </c:valAx>
      <c:valAx>
        <c:axId val="6482886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log(DNA</a:t>
                </a:r>
                <a:r>
                  <a:rPr lang="ja-JP" altLang="en-US"/>
                  <a:t>の長さ</a:t>
                </a:r>
                <a:r>
                  <a:rPr lang="en-US" altLang="ja-JP"/>
                  <a:t>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6940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3783289588801401"/>
                  <c:y val="-0.213092738407699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Sheet1!$A$24:$A$33</c:f>
              <c:numCache>
                <c:formatCode>General</c:formatCode>
                <c:ptCount val="10"/>
                <c:pt idx="0">
                  <c:v>194</c:v>
                </c:pt>
                <c:pt idx="1">
                  <c:v>214</c:v>
                </c:pt>
                <c:pt idx="2">
                  <c:v>240</c:v>
                </c:pt>
                <c:pt idx="3">
                  <c:v>260</c:v>
                </c:pt>
                <c:pt idx="4">
                  <c:v>287</c:v>
                </c:pt>
                <c:pt idx="5">
                  <c:v>320</c:v>
                </c:pt>
                <c:pt idx="6">
                  <c:v>370</c:v>
                </c:pt>
                <c:pt idx="7">
                  <c:v>406</c:v>
                </c:pt>
                <c:pt idx="8">
                  <c:v>437</c:v>
                </c:pt>
                <c:pt idx="9">
                  <c:v>459</c:v>
                </c:pt>
              </c:numCache>
            </c:numRef>
          </c:xVal>
          <c:yVal>
            <c:numRef>
              <c:f>Sheet1!$C$24:$C$33</c:f>
              <c:numCache>
                <c:formatCode>General</c:formatCode>
                <c:ptCount val="10"/>
                <c:pt idx="0">
                  <c:v>1</c:v>
                </c:pt>
                <c:pt idx="1">
                  <c:v>0.90308998699194354</c:v>
                </c:pt>
                <c:pt idx="2">
                  <c:v>0.77815125038364363</c:v>
                </c:pt>
                <c:pt idx="3">
                  <c:v>0.69897000433601886</c:v>
                </c:pt>
                <c:pt idx="4">
                  <c:v>0.6020599913279624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0.17609125905568124</c:v>
                </c:pt>
                <c:pt idx="8">
                  <c:v>7.9181246047624818E-2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4-3345-B6BE-3729BDC9E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2727327"/>
        <c:axId val="1294431503"/>
      </c:scatterChart>
      <c:valAx>
        <c:axId val="21427273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aseline="0"/>
                  <a:t> </a:t>
                </a:r>
                <a:r>
                  <a:rPr lang="ja-JP" altLang="en-US" baseline="0"/>
                  <a:t>泳動距離</a:t>
                </a:r>
                <a:r>
                  <a:rPr lang="en-US" altLang="ja-JP" baseline="0"/>
                  <a:t>(px)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94431503"/>
        <c:crosses val="autoZero"/>
        <c:crossBetween val="midCat"/>
      </c:valAx>
      <c:valAx>
        <c:axId val="129443150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log(DNA</a:t>
                </a:r>
                <a:r>
                  <a:rPr lang="ja-JP" altLang="en-US"/>
                  <a:t>の長さ</a:t>
                </a:r>
                <a:r>
                  <a:rPr lang="en-US" altLang="ja-JP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42727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457200</xdr:colOff>
      <xdr:row>1</xdr:row>
      <xdr:rowOff>190500</xdr:rowOff>
    </xdr:from>
    <xdr:to>
      <xdr:col>8</xdr:col>
      <xdr:colOff>266700</xdr:colOff>
      <xdr:row>12</xdr:row>
      <xdr:rowOff>139700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57ABA07-478F-0E8E-4734-533048682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462280</xdr:colOff>
      <xdr:row>20</xdr:row>
      <xdr:rowOff>177800</xdr:rowOff>
    </xdr:from>
    <xdr:to>
      <xdr:col>9</xdr:col>
      <xdr:colOff>259080</xdr:colOff>
      <xdr:row>31</xdr:row>
      <xdr:rowOff>127000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37BF410-4BB5-E8C8-1587-BDEC95FC03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C78B9-E552-EA43-8813-6783BC137E0E}">
  <dimension ref="A1:K43"/>
  <sheetViews>
    <sheetView tabSelected="1" zoomScale="188" workbookViewId="0">
      <selection activeCell="B19" sqref="B19"/>
    </sheetView>
  </sheetViews>
  <sheetFormatPr baseColWidth="10" defaultRowHeight="20"/>
  <cols>
    <col min="1" max="1" width="13" bestFit="1" customWidth="1"/>
  </cols>
  <sheetData>
    <row r="1" spans="1:7">
      <c r="A1" t="s">
        <v>0</v>
      </c>
    </row>
    <row r="2" spans="1:7">
      <c r="A2" t="s">
        <v>2</v>
      </c>
      <c r="B2" t="s">
        <v>1</v>
      </c>
    </row>
    <row r="3" spans="1:7">
      <c r="A3">
        <v>131</v>
      </c>
      <c r="B3">
        <v>10</v>
      </c>
      <c r="C3">
        <f>LOG(B3)</f>
        <v>1</v>
      </c>
    </row>
    <row r="4" spans="1:7">
      <c r="A4">
        <v>145</v>
      </c>
      <c r="B4">
        <v>8</v>
      </c>
      <c r="C4">
        <f t="shared" ref="C4:C11" si="0">LOG(B4)</f>
        <v>0.90308998699194354</v>
      </c>
    </row>
    <row r="5" spans="1:7">
      <c r="A5">
        <v>161</v>
      </c>
      <c r="B5">
        <v>6</v>
      </c>
      <c r="C5">
        <f t="shared" si="0"/>
        <v>0.77815125038364363</v>
      </c>
    </row>
    <row r="6" spans="1:7">
      <c r="A6">
        <v>174</v>
      </c>
      <c r="B6">
        <v>5</v>
      </c>
      <c r="C6">
        <f t="shared" si="0"/>
        <v>0.69897000433601886</v>
      </c>
    </row>
    <row r="7" spans="1:7">
      <c r="A7">
        <v>189</v>
      </c>
      <c r="B7">
        <v>4</v>
      </c>
      <c r="C7">
        <f t="shared" si="0"/>
        <v>0.6020599913279624</v>
      </c>
    </row>
    <row r="8" spans="1:7">
      <c r="A8">
        <v>207</v>
      </c>
      <c r="B8">
        <v>3</v>
      </c>
      <c r="C8">
        <f t="shared" si="0"/>
        <v>0.47712125471966244</v>
      </c>
    </row>
    <row r="9" spans="1:7">
      <c r="A9">
        <v>238</v>
      </c>
      <c r="B9">
        <v>2</v>
      </c>
      <c r="C9">
        <f t="shared" si="0"/>
        <v>0.3010299956639812</v>
      </c>
    </row>
    <row r="10" spans="1:7">
      <c r="A10">
        <v>258</v>
      </c>
      <c r="B10">
        <v>1.5</v>
      </c>
      <c r="C10">
        <f t="shared" si="0"/>
        <v>0.17609125905568124</v>
      </c>
    </row>
    <row r="11" spans="1:7">
      <c r="A11">
        <v>285</v>
      </c>
      <c r="B11">
        <v>1.2</v>
      </c>
      <c r="C11">
        <f t="shared" si="0"/>
        <v>7.9181246047624818E-2</v>
      </c>
    </row>
    <row r="12" spans="1:7">
      <c r="B12">
        <v>1</v>
      </c>
    </row>
    <row r="16" spans="1:7">
      <c r="A16" t="s">
        <v>3</v>
      </c>
      <c r="B16">
        <v>196</v>
      </c>
      <c r="C16">
        <v>300</v>
      </c>
      <c r="F16">
        <f t="shared" ref="F16" si="1">10^(-0.0061*B16+1.7707)</f>
        <v>3.7592395401291743</v>
      </c>
      <c r="G16">
        <f t="shared" ref="G16" si="2">10^(-0.0061*C16+1.7707)</f>
        <v>0.87236854936055963</v>
      </c>
    </row>
    <row r="17" spans="1:11">
      <c r="A17" t="s">
        <v>4</v>
      </c>
      <c r="B17">
        <v>199</v>
      </c>
      <c r="F17">
        <f t="shared" ref="F17:F18" si="3">10^(-0.0061*B17+1.7707)</f>
        <v>3.6041262864914358</v>
      </c>
    </row>
    <row r="18" spans="1:11">
      <c r="A18" t="s">
        <v>5</v>
      </c>
      <c r="B18">
        <v>151</v>
      </c>
      <c r="C18">
        <v>200</v>
      </c>
      <c r="F18">
        <f t="shared" si="3"/>
        <v>7.0729404240457585</v>
      </c>
      <c r="G18">
        <f t="shared" ref="G16:H18" si="4">10^(-0.0061*C18+1.7707)</f>
        <v>3.5538574198607575</v>
      </c>
    </row>
    <row r="19" spans="1:11">
      <c r="K19" t="s">
        <v>10</v>
      </c>
    </row>
    <row r="22" spans="1:11">
      <c r="A22" t="s">
        <v>6</v>
      </c>
    </row>
    <row r="23" spans="1:11">
      <c r="A23" t="s">
        <v>2</v>
      </c>
      <c r="B23" t="s">
        <v>7</v>
      </c>
    </row>
    <row r="24" spans="1:11">
      <c r="A24">
        <v>194</v>
      </c>
      <c r="B24">
        <v>10</v>
      </c>
      <c r="C24">
        <f>LOG(B24)</f>
        <v>1</v>
      </c>
    </row>
    <row r="25" spans="1:11">
      <c r="A25">
        <v>214</v>
      </c>
      <c r="B25">
        <v>8</v>
      </c>
      <c r="C25">
        <f t="shared" ref="C25:C33" si="5">LOG(B25)</f>
        <v>0.90308998699194354</v>
      </c>
    </row>
    <row r="26" spans="1:11">
      <c r="A26">
        <v>240</v>
      </c>
      <c r="B26">
        <v>6</v>
      </c>
      <c r="C26">
        <f t="shared" si="5"/>
        <v>0.77815125038364363</v>
      </c>
    </row>
    <row r="27" spans="1:11">
      <c r="A27">
        <v>260</v>
      </c>
      <c r="B27">
        <v>5</v>
      </c>
      <c r="C27">
        <f t="shared" si="5"/>
        <v>0.69897000433601886</v>
      </c>
    </row>
    <row r="28" spans="1:11">
      <c r="A28">
        <v>287</v>
      </c>
      <c r="B28">
        <v>4</v>
      </c>
      <c r="C28">
        <f t="shared" si="5"/>
        <v>0.6020599913279624</v>
      </c>
    </row>
    <row r="29" spans="1:11">
      <c r="A29">
        <v>320</v>
      </c>
      <c r="B29">
        <v>3</v>
      </c>
      <c r="C29">
        <f t="shared" si="5"/>
        <v>0.47712125471966244</v>
      </c>
    </row>
    <row r="30" spans="1:11">
      <c r="A30">
        <v>370</v>
      </c>
      <c r="B30">
        <v>2</v>
      </c>
      <c r="C30">
        <f t="shared" si="5"/>
        <v>0.3010299956639812</v>
      </c>
    </row>
    <row r="31" spans="1:11">
      <c r="A31">
        <v>406</v>
      </c>
      <c r="B31">
        <v>1.5</v>
      </c>
      <c r="C31">
        <f t="shared" si="5"/>
        <v>0.17609125905568124</v>
      </c>
    </row>
    <row r="32" spans="1:11">
      <c r="A32">
        <v>437</v>
      </c>
      <c r="B32">
        <v>1.2</v>
      </c>
      <c r="C32">
        <f t="shared" si="5"/>
        <v>7.9181246047624818E-2</v>
      </c>
    </row>
    <row r="33" spans="1:3">
      <c r="A33">
        <v>459</v>
      </c>
      <c r="B33">
        <v>1</v>
      </c>
      <c r="C33">
        <f t="shared" si="5"/>
        <v>0</v>
      </c>
    </row>
    <row r="36" spans="1:3">
      <c r="A36" t="s">
        <v>8</v>
      </c>
      <c r="B36" t="s">
        <v>9</v>
      </c>
    </row>
    <row r="37" spans="1:3">
      <c r="A37">
        <v>328</v>
      </c>
      <c r="B37">
        <v>297</v>
      </c>
      <c r="C37">
        <v>327</v>
      </c>
    </row>
    <row r="38" spans="1:3">
      <c r="A38">
        <v>452</v>
      </c>
      <c r="B38">
        <v>324</v>
      </c>
      <c r="C38">
        <v>360</v>
      </c>
    </row>
    <row r="39" spans="1:3">
      <c r="C39">
        <v>412</v>
      </c>
    </row>
    <row r="41" spans="1:3">
      <c r="A41">
        <f>10^(-0.0037*A37+1.6799)</f>
        <v>2.9261730085665736</v>
      </c>
      <c r="B41">
        <f t="shared" ref="B41:C41" si="6">10^(-0.0037*B37+1.6799)</f>
        <v>3.8106582339377306</v>
      </c>
      <c r="C41">
        <f t="shared" si="6"/>
        <v>2.9512092266663856</v>
      </c>
    </row>
    <row r="42" spans="1:3">
      <c r="A42">
        <f t="shared" ref="A42:C43" si="7">10^(-0.0037*A38+1.6799)</f>
        <v>1.0174193661806046</v>
      </c>
      <c r="B42">
        <f t="shared" si="7"/>
        <v>3.0276104809231299</v>
      </c>
      <c r="C42">
        <f>10^(-0.0037*C38+1.6799)</f>
        <v>2.2279220921849086</v>
      </c>
    </row>
    <row r="43" spans="1:3">
      <c r="C43">
        <f t="shared" si="7"/>
        <v>1.4305399808200658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 Yusaku</dc:creator>
  <cp:lastModifiedBy>NAKAMURA Yusaku</cp:lastModifiedBy>
  <dcterms:created xsi:type="dcterms:W3CDTF">2023-10-22T13:48:59Z</dcterms:created>
  <dcterms:modified xsi:type="dcterms:W3CDTF">2023-10-27T11:38:56Z</dcterms:modified>
</cp:coreProperties>
</file>