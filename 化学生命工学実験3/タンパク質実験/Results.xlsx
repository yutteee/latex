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kamurayusaku/univ/latex/化学生命工学実験3/タンパク質実験/"/>
    </mc:Choice>
  </mc:AlternateContent>
  <xr:revisionPtr revIDLastSave="0" documentId="13_ncr:1_{63E68371-A561-9242-A84A-00A972571C2C}" xr6:coauthVersionLast="47" xr6:coauthVersionMax="47" xr10:uidLastSave="{00000000-0000-0000-0000-000000000000}"/>
  <bookViews>
    <workbookView xWindow="4800" yWindow="2300" windowWidth="28800" windowHeight="17500" xr2:uid="{00000000-000D-0000-FFFF-FFFF00000000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2" i="1" l="1"/>
  <c r="H54" i="1"/>
  <c r="C45" i="1"/>
  <c r="C56" i="1"/>
  <c r="C55" i="1"/>
  <c r="C54" i="1"/>
  <c r="C53" i="1"/>
  <c r="C52" i="1"/>
  <c r="C39" i="1"/>
  <c r="M13" i="1"/>
  <c r="C40" i="1"/>
  <c r="C41" i="1"/>
  <c r="C42" i="1"/>
  <c r="C43" i="1"/>
  <c r="J18" i="1"/>
  <c r="J13" i="1"/>
  <c r="J12" i="1"/>
  <c r="I12" i="1"/>
  <c r="C24" i="1"/>
  <c r="D24" i="1" s="1"/>
  <c r="E24" i="1" s="1"/>
  <c r="C25" i="1"/>
  <c r="D25" i="1" s="1"/>
  <c r="E25" i="1" s="1"/>
  <c r="I13" i="1"/>
  <c r="I14" i="1"/>
  <c r="I15" i="1"/>
  <c r="I16" i="1"/>
  <c r="I17" i="1"/>
  <c r="I18" i="1"/>
  <c r="I19" i="1"/>
  <c r="J14" i="1"/>
  <c r="J15" i="1"/>
  <c r="J16" i="1"/>
  <c r="J17" i="1"/>
  <c r="J19" i="1"/>
  <c r="J20" i="1"/>
  <c r="F9" i="1"/>
  <c r="F8" i="1"/>
  <c r="F5" i="1"/>
  <c r="F4" i="1"/>
  <c r="F3" i="1"/>
  <c r="F2" i="1"/>
</calcChain>
</file>

<file path=xl/sharedStrings.xml><?xml version="1.0" encoding="utf-8"?>
<sst xmlns="http://schemas.openxmlformats.org/spreadsheetml/2006/main" count="18" uniqueCount="16">
  <si>
    <t xml:space="preserve"> </t>
  </si>
  <si>
    <t>Area</t>
  </si>
  <si>
    <t>IntDen</t>
  </si>
  <si>
    <t>RawIntDen</t>
  </si>
  <si>
    <t>length</t>
    <phoneticPr fontId="18"/>
  </si>
  <si>
    <t>X</t>
    <phoneticPr fontId="18"/>
  </si>
  <si>
    <t>Y</t>
    <phoneticPr fontId="18"/>
  </si>
  <si>
    <t>Rf</t>
    <phoneticPr fontId="18"/>
  </si>
  <si>
    <t>分子量</t>
    <rPh sb="0" eb="3">
      <t xml:space="preserve">ブンシリョウ </t>
    </rPh>
    <phoneticPr fontId="18"/>
  </si>
  <si>
    <t>log</t>
    <phoneticPr fontId="18"/>
  </si>
  <si>
    <t>rf</t>
    <phoneticPr fontId="18"/>
  </si>
  <si>
    <t>log(分子量)</t>
    <rPh sb="4" eb="7">
      <t xml:space="preserve">ブンシリョウ </t>
    </rPh>
    <phoneticPr fontId="18"/>
  </si>
  <si>
    <t>max length</t>
    <phoneticPr fontId="18"/>
  </si>
  <si>
    <t>ブラッドフォード--------------------------------------------------------------------------------------------</t>
    <phoneticPr fontId="18"/>
  </si>
  <si>
    <t>1/50x</t>
    <phoneticPr fontId="18"/>
  </si>
  <si>
    <t>B3(blank)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</si>
</sst>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4.5738730273868926E-2"/>
                  <c:y val="0.2365861723632789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Results!$E$2:$E$5</c:f>
              <c:numCache>
                <c:formatCode>General</c:formatCode>
                <c:ptCount val="4"/>
                <c:pt idx="0">
                  <c:v>0.25</c:v>
                </c:pt>
                <c:pt idx="1">
                  <c:v>0.125</c:v>
                </c:pt>
                <c:pt idx="2">
                  <c:v>6.25E-2</c:v>
                </c:pt>
                <c:pt idx="3">
                  <c:v>3.125E-2</c:v>
                </c:pt>
              </c:numCache>
            </c:numRef>
          </c:xVal>
          <c:yVal>
            <c:numRef>
              <c:f>Results!$F$2:$F$5</c:f>
              <c:numCache>
                <c:formatCode>General</c:formatCode>
                <c:ptCount val="4"/>
                <c:pt idx="0">
                  <c:v>2.976</c:v>
                </c:pt>
                <c:pt idx="1">
                  <c:v>2.4569999999999999</c:v>
                </c:pt>
                <c:pt idx="2">
                  <c:v>1.6590000000000003</c:v>
                </c:pt>
                <c:pt idx="3">
                  <c:v>1.0380000000000003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1E-9B4C-998C-E0C9446FD3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8971840"/>
        <c:axId val="778948112"/>
      </c:scatterChart>
      <c:valAx>
        <c:axId val="7789718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BSA</a:t>
                </a:r>
                <a:r>
                  <a:rPr lang="ja-JP" altLang="en-US"/>
                  <a:t>濃度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78948112"/>
        <c:crosses val="autoZero"/>
        <c:crossBetween val="midCat"/>
      </c:valAx>
      <c:valAx>
        <c:axId val="77894811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バンド強度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78971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7860236220472442E-2"/>
                  <c:y val="4.48251669963055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Results!$J$12:$J$19</c:f>
              <c:numCache>
                <c:formatCode>General</c:formatCode>
                <c:ptCount val="8"/>
                <c:pt idx="0">
                  <c:v>0.16036156678942082</c:v>
                </c:pt>
                <c:pt idx="1">
                  <c:v>0.20723133578841646</c:v>
                </c:pt>
                <c:pt idx="2">
                  <c:v>0.26648811516571813</c:v>
                </c:pt>
                <c:pt idx="3">
                  <c:v>0.32875795112152661</c:v>
                </c:pt>
                <c:pt idx="4">
                  <c:v>0.43890190826916636</c:v>
                </c:pt>
                <c:pt idx="5">
                  <c:v>0.54168061600267825</c:v>
                </c:pt>
                <c:pt idx="6">
                  <c:v>0.72882490793438226</c:v>
                </c:pt>
                <c:pt idx="7">
                  <c:v>0.79410780046869767</c:v>
                </c:pt>
              </c:numCache>
            </c:numRef>
          </c:xVal>
          <c:yVal>
            <c:numRef>
              <c:f>Results!$I$12:$I$19</c:f>
              <c:numCache>
                <c:formatCode>General</c:formatCode>
                <c:ptCount val="8"/>
                <c:pt idx="0">
                  <c:v>2.3010299956639813</c:v>
                </c:pt>
                <c:pt idx="1">
                  <c:v>2.1760912590556813</c:v>
                </c:pt>
                <c:pt idx="2">
                  <c:v>2</c:v>
                </c:pt>
                <c:pt idx="3">
                  <c:v>1.8750612633917001</c:v>
                </c:pt>
                <c:pt idx="4">
                  <c:v>1.6989700043360187</c:v>
                </c:pt>
                <c:pt idx="5">
                  <c:v>1.568201724066995</c:v>
                </c:pt>
                <c:pt idx="6">
                  <c:v>1.3979400086720377</c:v>
                </c:pt>
                <c:pt idx="7">
                  <c:v>1.3010299956639813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11-CB47-BA3C-53C9D8BD0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339104"/>
        <c:axId val="221340832"/>
      </c:scatterChart>
      <c:valAx>
        <c:axId val="221339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Rf</a:t>
                </a:r>
                <a:r>
                  <a:rPr lang="ja-JP" altLang="en-US"/>
                  <a:t>値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21340832"/>
        <c:crosses val="autoZero"/>
        <c:crossBetween val="midCat"/>
      </c:valAx>
      <c:valAx>
        <c:axId val="22134083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log(</a:t>
                </a:r>
                <a:r>
                  <a:rPr lang="ja-JP" altLang="en-US"/>
                  <a:t>分子量</a:t>
                </a:r>
                <a:r>
                  <a:rPr lang="en-US" altLang="ja-JP"/>
                  <a:t>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21339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8564720903064187E-2"/>
                  <c:y val="-4.805584824198457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Results!$A$39:$A$43</c:f>
              <c:numCache>
                <c:formatCode>General</c:formatCode>
                <c:ptCount val="5"/>
                <c:pt idx="0">
                  <c:v>0.8</c:v>
                </c:pt>
                <c:pt idx="1">
                  <c:v>0.4</c:v>
                </c:pt>
                <c:pt idx="2">
                  <c:v>0.2</c:v>
                </c:pt>
                <c:pt idx="3">
                  <c:v>0.1</c:v>
                </c:pt>
                <c:pt idx="4">
                  <c:v>0.05</c:v>
                </c:pt>
              </c:numCache>
            </c:numRef>
          </c:xVal>
          <c:yVal>
            <c:numRef>
              <c:f>Results!$C$39:$C$43</c:f>
              <c:numCache>
                <c:formatCode>General</c:formatCode>
                <c:ptCount val="5"/>
                <c:pt idx="0">
                  <c:v>1.2350000000000003</c:v>
                </c:pt>
                <c:pt idx="1">
                  <c:v>0.21800000000000008</c:v>
                </c:pt>
                <c:pt idx="2">
                  <c:v>0.16600000000000004</c:v>
                </c:pt>
                <c:pt idx="3">
                  <c:v>0.10400000000000009</c:v>
                </c:pt>
                <c:pt idx="4">
                  <c:v>4.6000000000000041E-2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73-944A-A8B7-49C732FF8F1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Results!$A$39:$A$43</c:f>
              <c:numCache>
                <c:formatCode>General</c:formatCode>
                <c:ptCount val="5"/>
                <c:pt idx="0">
                  <c:v>0.8</c:v>
                </c:pt>
                <c:pt idx="1">
                  <c:v>0.4</c:v>
                </c:pt>
                <c:pt idx="2">
                  <c:v>0.2</c:v>
                </c:pt>
                <c:pt idx="3">
                  <c:v>0.1</c:v>
                </c:pt>
                <c:pt idx="4">
                  <c:v>0.05</c:v>
                </c:pt>
              </c:numCache>
            </c:numRef>
          </c:xVal>
          <c:yVal>
            <c:numRef>
              <c:f>Results!$D$40:$D$43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B4-7B44-8E45-37BAED0B75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9828976"/>
        <c:axId val="1930539728"/>
      </c:scatterChart>
      <c:valAx>
        <c:axId val="369828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ブラッドフォード溶液濃度</a:t>
                </a:r>
                <a:r>
                  <a:rPr lang="en-US" altLang="ja-JP"/>
                  <a:t> (mg/mL)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30539728"/>
        <c:crosses val="autoZero"/>
        <c:crossBetween val="midCat"/>
      </c:valAx>
      <c:valAx>
        <c:axId val="19305397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吸光度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69828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196352</xdr:colOff>
      <xdr:row>0</xdr:row>
      <xdr:rowOff>0</xdr:rowOff>
    </xdr:from>
    <xdr:to>
      <xdr:col>15</xdr:col>
      <xdr:colOff>5852</xdr:colOff>
      <xdr:row>10</xdr:row>
      <xdr:rowOff>208973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B1C3DD9D-95DE-5A62-91C3-E4810F5757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675698</xdr:colOff>
      <xdr:row>21</xdr:row>
      <xdr:rowOff>226868</xdr:rowOff>
    </xdr:from>
    <xdr:to>
      <xdr:col>13</xdr:col>
      <xdr:colOff>485198</xdr:colOff>
      <xdr:row>32</xdr:row>
      <xdr:rowOff>112568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FD4FA52D-0A42-236D-FF9C-B3D1E6A7B3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101600</xdr:colOff>
      <xdr:row>39</xdr:row>
      <xdr:rowOff>10160</xdr:rowOff>
    </xdr:from>
    <xdr:to>
      <xdr:col>8</xdr:col>
      <xdr:colOff>853440</xdr:colOff>
      <xdr:row>49</xdr:row>
      <xdr:rowOff>213360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38914947-B6AF-4216-E8C7-EF9EA9DA64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8"/>
  <sheetViews>
    <sheetView tabSelected="1" topLeftCell="A36" zoomScale="125" workbookViewId="0">
      <selection activeCell="G53" sqref="G53"/>
    </sheetView>
  </sheetViews>
  <sheetFormatPr baseColWidth="10" defaultRowHeight="20"/>
  <sheetData>
    <row r="1" spans="1:13">
      <c r="A1" t="s">
        <v>0</v>
      </c>
      <c r="B1" t="s">
        <v>1</v>
      </c>
      <c r="C1" t="s">
        <v>2</v>
      </c>
      <c r="D1" t="s">
        <v>3</v>
      </c>
    </row>
    <row r="2" spans="1:13">
      <c r="A2">
        <v>1</v>
      </c>
      <c r="B2">
        <v>0.03</v>
      </c>
      <c r="C2">
        <v>5.2789999999999999</v>
      </c>
      <c r="D2">
        <v>475118</v>
      </c>
      <c r="E2">
        <v>0.25</v>
      </c>
      <c r="F2">
        <f>C2-C6</f>
        <v>2.976</v>
      </c>
    </row>
    <row r="3" spans="1:13">
      <c r="A3">
        <v>2</v>
      </c>
      <c r="B3">
        <v>0.03</v>
      </c>
      <c r="C3">
        <v>4.76</v>
      </c>
      <c r="D3">
        <v>428429</v>
      </c>
      <c r="E3">
        <v>0.125</v>
      </c>
      <c r="F3">
        <f>C3-C6</f>
        <v>2.4569999999999999</v>
      </c>
    </row>
    <row r="4" spans="1:13">
      <c r="A4">
        <v>3</v>
      </c>
      <c r="B4">
        <v>0.03</v>
      </c>
      <c r="C4">
        <v>3.9620000000000002</v>
      </c>
      <c r="D4">
        <v>356585</v>
      </c>
      <c r="E4">
        <v>6.25E-2</v>
      </c>
      <c r="F4">
        <f>C4-C6</f>
        <v>1.6590000000000003</v>
      </c>
    </row>
    <row r="5" spans="1:13">
      <c r="A5">
        <v>4</v>
      </c>
      <c r="B5">
        <v>0.03</v>
      </c>
      <c r="C5">
        <v>3.3410000000000002</v>
      </c>
      <c r="D5">
        <v>300686</v>
      </c>
      <c r="E5">
        <v>3.125E-2</v>
      </c>
      <c r="F5">
        <f>C5-C6</f>
        <v>1.0380000000000003</v>
      </c>
    </row>
    <row r="6" spans="1:13">
      <c r="A6">
        <v>5</v>
      </c>
      <c r="B6">
        <v>0.03</v>
      </c>
      <c r="C6">
        <v>2.3029999999999999</v>
      </c>
      <c r="D6">
        <v>207283</v>
      </c>
    </row>
    <row r="7" spans="1:13">
      <c r="A7" s="1"/>
    </row>
    <row r="8" spans="1:13">
      <c r="A8" s="1">
        <v>6</v>
      </c>
      <c r="B8">
        <v>0.03</v>
      </c>
      <c r="C8">
        <v>5.44</v>
      </c>
      <c r="D8">
        <v>489638</v>
      </c>
      <c r="F8">
        <f>C8-C6</f>
        <v>3.1370000000000005</v>
      </c>
    </row>
    <row r="9" spans="1:13">
      <c r="A9">
        <v>7</v>
      </c>
      <c r="B9">
        <v>0.03</v>
      </c>
      <c r="C9">
        <v>3.8679999999999999</v>
      </c>
      <c r="D9">
        <v>348081</v>
      </c>
      <c r="F9">
        <f>C9-C6</f>
        <v>1.5649999999999999</v>
      </c>
    </row>
    <row r="11" spans="1:13">
      <c r="C11" t="s">
        <v>5</v>
      </c>
      <c r="D11" t="s">
        <v>6</v>
      </c>
      <c r="H11" t="s">
        <v>8</v>
      </c>
      <c r="I11" t="s">
        <v>9</v>
      </c>
      <c r="J11" t="s">
        <v>7</v>
      </c>
    </row>
    <row r="12" spans="1:13">
      <c r="A12">
        <v>1</v>
      </c>
      <c r="B12">
        <v>0</v>
      </c>
      <c r="C12">
        <v>0.47899999999999998</v>
      </c>
      <c r="D12">
        <v>165.29499999999999</v>
      </c>
      <c r="E12">
        <v>0</v>
      </c>
      <c r="F12">
        <v>0</v>
      </c>
      <c r="H12">
        <v>200</v>
      </c>
      <c r="I12">
        <f>LOG(H12)</f>
        <v>2.3010299956639813</v>
      </c>
      <c r="J12">
        <f>C12/2.987</f>
        <v>0.16036156678942082</v>
      </c>
    </row>
    <row r="13" spans="1:13">
      <c r="A13">
        <v>2</v>
      </c>
      <c r="B13">
        <v>0</v>
      </c>
      <c r="C13">
        <v>0.61899999999999999</v>
      </c>
      <c r="D13">
        <v>150.37799999999999</v>
      </c>
      <c r="E13">
        <v>0</v>
      </c>
      <c r="F13">
        <v>0</v>
      </c>
      <c r="H13">
        <v>150</v>
      </c>
      <c r="I13">
        <f t="shared" ref="I13:I19" si="0">LOG(H13)</f>
        <v>2.1760912590556813</v>
      </c>
      <c r="J13">
        <f>C13/2.987</f>
        <v>0.20723133578841646</v>
      </c>
      <c r="M13">
        <f>(3.137-1.0537)/8.3528</f>
        <v>0.2494133703668231</v>
      </c>
    </row>
    <row r="14" spans="1:13">
      <c r="A14">
        <v>3</v>
      </c>
      <c r="B14">
        <v>0</v>
      </c>
      <c r="C14">
        <v>0.79600000000000004</v>
      </c>
      <c r="D14">
        <v>148.62299999999999</v>
      </c>
      <c r="E14">
        <v>0</v>
      </c>
      <c r="F14">
        <v>0</v>
      </c>
      <c r="H14">
        <v>100</v>
      </c>
      <c r="I14">
        <f t="shared" si="0"/>
        <v>2</v>
      </c>
      <c r="J14">
        <f t="shared" ref="J14:J20" si="1">C14/2.987</f>
        <v>0.26648811516571813</v>
      </c>
    </row>
    <row r="15" spans="1:13">
      <c r="A15">
        <v>4</v>
      </c>
      <c r="B15">
        <v>0</v>
      </c>
      <c r="C15">
        <v>0.98199999999999998</v>
      </c>
      <c r="D15">
        <v>206.53700000000001</v>
      </c>
      <c r="E15">
        <v>0</v>
      </c>
      <c r="F15">
        <v>0</v>
      </c>
      <c r="H15">
        <v>75</v>
      </c>
      <c r="I15">
        <f t="shared" si="0"/>
        <v>1.8750612633917001</v>
      </c>
      <c r="J15">
        <f t="shared" si="1"/>
        <v>0.32875795112152661</v>
      </c>
    </row>
    <row r="16" spans="1:13">
      <c r="A16">
        <v>5</v>
      </c>
      <c r="B16">
        <v>0</v>
      </c>
      <c r="C16">
        <v>1.3109999999999999</v>
      </c>
      <c r="D16">
        <v>196.00700000000001</v>
      </c>
      <c r="E16">
        <v>0.2</v>
      </c>
      <c r="F16">
        <v>255</v>
      </c>
      <c r="H16">
        <v>50</v>
      </c>
      <c r="I16">
        <f t="shared" si="0"/>
        <v>1.6989700043360187</v>
      </c>
      <c r="J16">
        <f t="shared" si="1"/>
        <v>0.43890190826916636</v>
      </c>
    </row>
    <row r="17" spans="1:10">
      <c r="A17">
        <v>6</v>
      </c>
      <c r="B17">
        <v>0</v>
      </c>
      <c r="C17">
        <v>1.6180000000000001</v>
      </c>
      <c r="D17">
        <v>144.411</v>
      </c>
      <c r="E17">
        <v>0</v>
      </c>
      <c r="F17">
        <v>0</v>
      </c>
      <c r="H17">
        <v>37</v>
      </c>
      <c r="I17">
        <f t="shared" si="0"/>
        <v>1.568201724066995</v>
      </c>
      <c r="J17">
        <f t="shared" si="1"/>
        <v>0.54168061600267825</v>
      </c>
    </row>
    <row r="18" spans="1:10">
      <c r="A18">
        <v>7</v>
      </c>
      <c r="B18">
        <v>0</v>
      </c>
      <c r="C18">
        <v>2.177</v>
      </c>
      <c r="D18">
        <v>174.245</v>
      </c>
      <c r="E18">
        <v>0.2</v>
      </c>
      <c r="F18">
        <v>255</v>
      </c>
      <c r="H18">
        <v>25</v>
      </c>
      <c r="I18">
        <f t="shared" si="0"/>
        <v>1.3979400086720377</v>
      </c>
      <c r="J18">
        <f>C18/2.987</f>
        <v>0.72882490793438226</v>
      </c>
    </row>
    <row r="19" spans="1:10">
      <c r="A19">
        <v>8</v>
      </c>
      <c r="B19">
        <v>0</v>
      </c>
      <c r="C19">
        <v>2.3719999999999999</v>
      </c>
      <c r="D19">
        <v>137.04</v>
      </c>
      <c r="E19">
        <v>0.2</v>
      </c>
      <c r="F19">
        <v>255</v>
      </c>
      <c r="H19">
        <v>20</v>
      </c>
      <c r="I19">
        <f t="shared" si="0"/>
        <v>1.3010299956639813</v>
      </c>
      <c r="J19">
        <f t="shared" si="1"/>
        <v>0.79410780046869767</v>
      </c>
    </row>
    <row r="20" spans="1:10">
      <c r="A20">
        <v>9</v>
      </c>
      <c r="B20">
        <v>0</v>
      </c>
      <c r="C20">
        <v>2.8959999999999999</v>
      </c>
      <c r="D20">
        <v>130.02000000000001</v>
      </c>
      <c r="E20">
        <v>0</v>
      </c>
      <c r="F20">
        <v>0</v>
      </c>
      <c r="J20">
        <f t="shared" si="1"/>
        <v>0.96953465015065277</v>
      </c>
    </row>
    <row r="22" spans="1:10">
      <c r="A22" t="s">
        <v>12</v>
      </c>
      <c r="B22">
        <v>2.9870000000000001</v>
      </c>
    </row>
    <row r="23" spans="1:10">
      <c r="B23" t="s">
        <v>4</v>
      </c>
      <c r="C23" t="s">
        <v>10</v>
      </c>
      <c r="D23" t="s">
        <v>11</v>
      </c>
    </row>
    <row r="24" spans="1:10">
      <c r="B24">
        <v>2.0870000000000002</v>
      </c>
      <c r="C24">
        <f>B24/2.987</f>
        <v>0.6986943421493137</v>
      </c>
      <c r="D24">
        <f>-1.4925*C24+2.4365</f>
        <v>1.3936986943421494</v>
      </c>
      <c r="E24">
        <f>10^D24</f>
        <v>24.757038631059665</v>
      </c>
    </row>
    <row r="25" spans="1:10">
      <c r="B25">
        <v>2.06</v>
      </c>
      <c r="C25">
        <f>B25/2.987</f>
        <v>0.68965517241379315</v>
      </c>
      <c r="D25">
        <f>-1.4925*C25+2.4365</f>
        <v>1.4071896551724139</v>
      </c>
      <c r="E25">
        <f>10^D25</f>
        <v>25.538163035442938</v>
      </c>
    </row>
    <row r="37" spans="1:3">
      <c r="A37" t="s">
        <v>13</v>
      </c>
    </row>
    <row r="39" spans="1:3">
      <c r="A39">
        <v>0.8</v>
      </c>
      <c r="B39">
        <v>2.0630000000000002</v>
      </c>
      <c r="C39">
        <f>B39-0.828</f>
        <v>1.2350000000000003</v>
      </c>
    </row>
    <row r="40" spans="1:3">
      <c r="A40">
        <v>0.4</v>
      </c>
      <c r="B40">
        <v>1.046</v>
      </c>
      <c r="C40">
        <f t="shared" ref="C40:C43" si="2">B40-0.828</f>
        <v>0.21800000000000008</v>
      </c>
    </row>
    <row r="41" spans="1:3">
      <c r="A41">
        <v>0.2</v>
      </c>
      <c r="B41">
        <v>0.99399999999999999</v>
      </c>
      <c r="C41">
        <f t="shared" si="2"/>
        <v>0.16600000000000004</v>
      </c>
    </row>
    <row r="42" spans="1:3">
      <c r="A42">
        <v>0.1</v>
      </c>
      <c r="B42">
        <v>0.93200000000000005</v>
      </c>
      <c r="C42">
        <f t="shared" si="2"/>
        <v>0.10400000000000009</v>
      </c>
    </row>
    <row r="43" spans="1:3">
      <c r="A43">
        <v>0.05</v>
      </c>
      <c r="B43">
        <v>0.874</v>
      </c>
      <c r="C43">
        <f t="shared" si="2"/>
        <v>4.6000000000000041E-2</v>
      </c>
    </row>
    <row r="44" spans="1:3">
      <c r="A44" t="s">
        <v>15</v>
      </c>
      <c r="B44">
        <v>0.82799999999999996</v>
      </c>
    </row>
    <row r="45" spans="1:3">
      <c r="A45" t="s">
        <v>14</v>
      </c>
      <c r="B45">
        <v>1.151</v>
      </c>
      <c r="C45">
        <f>B45-0.828</f>
        <v>0.32300000000000006</v>
      </c>
    </row>
    <row r="52" spans="1:8">
      <c r="A52">
        <v>0.8</v>
      </c>
      <c r="B52">
        <v>2.0630000000000002</v>
      </c>
      <c r="C52">
        <f>B52-0.828</f>
        <v>1.2350000000000003</v>
      </c>
      <c r="G52">
        <f>(0.323+0.1235)/1.5395</f>
        <v>0.29002923026956801</v>
      </c>
    </row>
    <row r="53" spans="1:8">
      <c r="A53">
        <v>0.4</v>
      </c>
      <c r="B53">
        <v>1.046</v>
      </c>
      <c r="C53">
        <f t="shared" ref="C53:C56" si="3">B53-0.828</f>
        <v>0.21800000000000008</v>
      </c>
    </row>
    <row r="54" spans="1:8">
      <c r="A54">
        <v>0.2</v>
      </c>
      <c r="B54">
        <v>0.99399999999999999</v>
      </c>
      <c r="C54">
        <f t="shared" si="3"/>
        <v>0.16600000000000004</v>
      </c>
      <c r="H54">
        <f>(0.323-0.0475)/0.4588</f>
        <v>0.60047951176983438</v>
      </c>
    </row>
    <row r="55" spans="1:8">
      <c r="A55">
        <v>0.1</v>
      </c>
      <c r="B55">
        <v>0.93200000000000005</v>
      </c>
      <c r="C55">
        <f t="shared" si="3"/>
        <v>0.10400000000000009</v>
      </c>
    </row>
    <row r="56" spans="1:8">
      <c r="A56">
        <v>0.05</v>
      </c>
      <c r="B56">
        <v>0.874</v>
      </c>
      <c r="C56">
        <f t="shared" si="3"/>
        <v>4.6000000000000041E-2</v>
      </c>
    </row>
    <row r="57" spans="1:8">
      <c r="A57" t="s">
        <v>15</v>
      </c>
      <c r="B57">
        <v>0.82799999999999996</v>
      </c>
    </row>
    <row r="58" spans="1:8">
      <c r="A58" t="s">
        <v>14</v>
      </c>
      <c r="B58">
        <v>1.151</v>
      </c>
    </row>
  </sheetData>
  <phoneticPr fontId="18"/>
  <pageMargins left="0.75" right="0.75" top="1" bottom="1" header="0.5" footer="0.5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NAKAMURA Yusaku</dc:creator>
  <cp:lastModifiedBy>NAKAMURA Yusaku</cp:lastModifiedBy>
  <dcterms:created xsi:type="dcterms:W3CDTF">2023-10-10T07:11:16Z</dcterms:created>
  <dcterms:modified xsi:type="dcterms:W3CDTF">2023-10-12T12:01:04Z</dcterms:modified>
</cp:coreProperties>
</file>