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tteee/univ/latex/研究/7/"/>
    </mc:Choice>
  </mc:AlternateContent>
  <xr:revisionPtr revIDLastSave="0" documentId="13_ncr:1_{D49199A9-04B2-2144-BD56-0162830FCD20}" xr6:coauthVersionLast="47" xr6:coauthVersionMax="47" xr10:uidLastSave="{00000000-0000-0000-0000-000000000000}"/>
  <bookViews>
    <workbookView xWindow="34560" yWindow="-10780" windowWidth="38400" windowHeight="21100" xr2:uid="{9A9CAE75-70B0-A044-B386-26E7E945EADC}"/>
  </bookViews>
  <sheets>
    <sheet name="Sheet1" sheetId="1" r:id="rId1"/>
    <sheet name="β-ga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D19" i="1"/>
  <c r="E19" i="1"/>
  <c r="F19" i="1"/>
  <c r="G19" i="1"/>
  <c r="H19" i="1"/>
  <c r="B19" i="1"/>
  <c r="C18" i="1"/>
  <c r="D18" i="1"/>
  <c r="E18" i="1"/>
  <c r="F18" i="1"/>
  <c r="G18" i="1"/>
  <c r="H18" i="1"/>
  <c r="B18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B16" i="1"/>
  <c r="B17" i="1"/>
  <c r="B15" i="1"/>
</calcChain>
</file>

<file path=xl/sharedStrings.xml><?xml version="1.0" encoding="utf-8"?>
<sst xmlns="http://schemas.openxmlformats.org/spreadsheetml/2006/main" count="38" uniqueCount="18">
  <si>
    <t>蛍</t>
    <rPh sb="0" eb="1">
      <t xml:space="preserve">ホタル </t>
    </rPh>
    <phoneticPr fontId="1"/>
  </si>
  <si>
    <t>n1</t>
    <phoneticPr fontId="1"/>
  </si>
  <si>
    <t>n2</t>
    <phoneticPr fontId="1"/>
  </si>
  <si>
    <t>n3</t>
    <phoneticPr fontId="1"/>
  </si>
  <si>
    <t>β-gal</t>
    <phoneticPr fontId="1"/>
  </si>
  <si>
    <t>A</t>
  </si>
  <si>
    <t>Read 1:415</t>
  </si>
  <si>
    <t>Read 2:655</t>
  </si>
  <si>
    <t>B</t>
  </si>
  <si>
    <t>C</t>
  </si>
  <si>
    <t>D</t>
  </si>
  <si>
    <t>E</t>
  </si>
  <si>
    <t>F</t>
  </si>
  <si>
    <t>G</t>
  </si>
  <si>
    <t>H</t>
  </si>
  <si>
    <t>Luc</t>
    <phoneticPr fontId="1"/>
  </si>
  <si>
    <t>ave</t>
    <phoneticPr fontId="1"/>
  </si>
  <si>
    <t>stdev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</si>
</sst>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Sheet1!$B$19:$H$19</c:f>
                <c:numCache>
                  <c:formatCode>General</c:formatCode>
                  <c:ptCount val="7"/>
                  <c:pt idx="0">
                    <c:v>4076.1173113249201</c:v>
                  </c:pt>
                  <c:pt idx="1">
                    <c:v>3163.6999944167515</c:v>
                  </c:pt>
                  <c:pt idx="2">
                    <c:v>3060.5593553159824</c:v>
                  </c:pt>
                  <c:pt idx="3">
                    <c:v>2945.3550548589133</c:v>
                  </c:pt>
                  <c:pt idx="4">
                    <c:v>15073.887093323076</c:v>
                  </c:pt>
                  <c:pt idx="5">
                    <c:v>6939.5447383758974</c:v>
                  </c:pt>
                  <c:pt idx="6">
                    <c:v>7645.3418132725637</c:v>
                  </c:pt>
                </c:numCache>
              </c:numRef>
            </c:plus>
            <c:minus>
              <c:numRef>
                <c:f>Sheet1!$B$19:$H$19</c:f>
                <c:numCache>
                  <c:formatCode>General</c:formatCode>
                  <c:ptCount val="7"/>
                  <c:pt idx="0">
                    <c:v>4076.1173113249201</c:v>
                  </c:pt>
                  <c:pt idx="1">
                    <c:v>3163.6999944167515</c:v>
                  </c:pt>
                  <c:pt idx="2">
                    <c:v>3060.5593553159824</c:v>
                  </c:pt>
                  <c:pt idx="3">
                    <c:v>2945.3550548589133</c:v>
                  </c:pt>
                  <c:pt idx="4">
                    <c:v>15073.887093323076</c:v>
                  </c:pt>
                  <c:pt idx="5">
                    <c:v>6939.5447383758974</c:v>
                  </c:pt>
                  <c:pt idx="6">
                    <c:v>7645.3418132725637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Sheet1!$B$14:$H$14</c:f>
              <c:numCache>
                <c:formatCode>General</c:formatCode>
                <c:ptCount val="7"/>
                <c:pt idx="0">
                  <c:v>0</c:v>
                </c:pt>
                <c:pt idx="1">
                  <c:v>0.01</c:v>
                </c:pt>
                <c:pt idx="2">
                  <c:v>0.1</c:v>
                </c:pt>
                <c:pt idx="3">
                  <c:v>1</c:v>
                </c:pt>
                <c:pt idx="4">
                  <c:v>10</c:v>
                </c:pt>
                <c:pt idx="5">
                  <c:v>20</c:v>
                </c:pt>
                <c:pt idx="6">
                  <c:v>100</c:v>
                </c:pt>
              </c:numCache>
            </c:numRef>
          </c:xVal>
          <c:yVal>
            <c:numRef>
              <c:f>Sheet1!$B$18:$H$18</c:f>
              <c:numCache>
                <c:formatCode>General</c:formatCode>
                <c:ptCount val="7"/>
                <c:pt idx="0">
                  <c:v>34706.675092775666</c:v>
                </c:pt>
                <c:pt idx="1">
                  <c:v>33643.801875628182</c:v>
                </c:pt>
                <c:pt idx="2">
                  <c:v>31339.889091830421</c:v>
                </c:pt>
                <c:pt idx="3">
                  <c:v>72763.131239787777</c:v>
                </c:pt>
                <c:pt idx="4">
                  <c:v>143821.87439268609</c:v>
                </c:pt>
                <c:pt idx="5">
                  <c:v>166247.92552114956</c:v>
                </c:pt>
                <c:pt idx="6">
                  <c:v>183480.12518616914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38-0045-897F-FCFD14FA1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22639"/>
        <c:axId val="443113423"/>
      </c:scatterChart>
      <c:valAx>
        <c:axId val="207122639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DCA</a:t>
                </a:r>
                <a:r>
                  <a:rPr lang="ja-JP"/>
                  <a:t>濃度</a:t>
                </a:r>
                <a:r>
                  <a:rPr lang="en-US"/>
                  <a:t> [log(µM)]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43113423"/>
        <c:crosses val="autoZero"/>
        <c:crossBetween val="midCat"/>
      </c:valAx>
      <c:valAx>
        <c:axId val="4431134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Luc activity [-]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07122639"/>
        <c:crossesAt val="1E-3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6350</xdr:colOff>
      <xdr:row>2</xdr:row>
      <xdr:rowOff>234586</xdr:rowOff>
    </xdr:from>
    <xdr:to>
      <xdr:col>16</xdr:col>
      <xdr:colOff>938344</xdr:colOff>
      <xdr:row>19</xdr:row>
      <xdr:rowOff>241300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4B4E513E-ED5E-80DD-293E-8C81365AE0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670D-5BD7-614F-859C-8A8E42476232}">
  <dimension ref="A1:I19"/>
  <sheetViews>
    <sheetView tabSelected="1" topLeftCell="G1" zoomScale="157" workbookViewId="0">
      <selection activeCell="K25" sqref="K25"/>
    </sheetView>
  </sheetViews>
  <sheetFormatPr baseColWidth="10" defaultRowHeight="20"/>
  <sheetData>
    <row r="1" spans="1:9">
      <c r="A1" t="s">
        <v>0</v>
      </c>
    </row>
    <row r="2" spans="1:9">
      <c r="B2">
        <v>0</v>
      </c>
      <c r="C2">
        <v>0.01</v>
      </c>
      <c r="D2">
        <v>0.1</v>
      </c>
      <c r="E2">
        <v>1</v>
      </c>
      <c r="F2">
        <v>10</v>
      </c>
      <c r="G2">
        <v>20</v>
      </c>
      <c r="H2">
        <v>100</v>
      </c>
    </row>
    <row r="3" spans="1:9">
      <c r="A3" t="s">
        <v>1</v>
      </c>
      <c r="B3">
        <v>4809</v>
      </c>
      <c r="C3">
        <v>3844</v>
      </c>
      <c r="D3">
        <v>3403</v>
      </c>
      <c r="E3">
        <v>13028</v>
      </c>
      <c r="F3">
        <v>21585</v>
      </c>
      <c r="G3">
        <v>31049</v>
      </c>
      <c r="H3">
        <v>30954</v>
      </c>
    </row>
    <row r="4" spans="1:9">
      <c r="A4" t="s">
        <v>2</v>
      </c>
      <c r="B4">
        <v>4848</v>
      </c>
      <c r="C4">
        <v>5212</v>
      </c>
      <c r="D4">
        <v>5538</v>
      </c>
      <c r="E4">
        <v>13241</v>
      </c>
      <c r="F4">
        <v>25300</v>
      </c>
      <c r="G4">
        <v>32284</v>
      </c>
      <c r="H4">
        <v>37491</v>
      </c>
    </row>
    <row r="5" spans="1:9">
      <c r="A5" t="s">
        <v>3</v>
      </c>
      <c r="B5">
        <v>5333</v>
      </c>
      <c r="C5">
        <v>4957</v>
      </c>
      <c r="D5">
        <v>5196</v>
      </c>
      <c r="E5">
        <v>14647</v>
      </c>
      <c r="F5">
        <v>23131</v>
      </c>
      <c r="G5">
        <v>28962</v>
      </c>
      <c r="H5">
        <v>31504</v>
      </c>
    </row>
    <row r="7" spans="1:9">
      <c r="A7" t="s">
        <v>4</v>
      </c>
    </row>
    <row r="8" spans="1:9">
      <c r="B8">
        <v>0</v>
      </c>
      <c r="C8">
        <v>0.01</v>
      </c>
      <c r="D8">
        <v>0.1</v>
      </c>
      <c r="E8">
        <v>1</v>
      </c>
      <c r="F8">
        <v>10</v>
      </c>
      <c r="G8">
        <v>20</v>
      </c>
      <c r="H8">
        <v>100</v>
      </c>
    </row>
    <row r="9" spans="1:9">
      <c r="A9" t="s">
        <v>1</v>
      </c>
      <c r="B9">
        <v>0.14299999999999999</v>
      </c>
      <c r="C9">
        <v>0.128</v>
      </c>
      <c r="D9">
        <v>0.122</v>
      </c>
      <c r="E9">
        <v>0.186</v>
      </c>
      <c r="F9">
        <v>0.158</v>
      </c>
      <c r="G9">
        <v>0.183</v>
      </c>
      <c r="H9">
        <v>0.16900000000000001</v>
      </c>
      <c r="I9">
        <v>5.2999999999999999E-2</v>
      </c>
    </row>
    <row r="10" spans="1:9">
      <c r="A10" t="s">
        <v>2</v>
      </c>
      <c r="B10">
        <v>0.155</v>
      </c>
      <c r="C10">
        <v>0.14899999999999999</v>
      </c>
      <c r="D10">
        <v>0.17100000000000001</v>
      </c>
      <c r="E10">
        <v>0.183</v>
      </c>
      <c r="F10">
        <v>0.157</v>
      </c>
      <c r="G10">
        <v>0.189</v>
      </c>
      <c r="H10">
        <v>0.19600000000000001</v>
      </c>
      <c r="I10">
        <v>5.5E-2</v>
      </c>
    </row>
    <row r="11" spans="1:9">
      <c r="A11" t="s">
        <v>3</v>
      </c>
      <c r="B11">
        <v>0.13600000000000001</v>
      </c>
      <c r="C11">
        <v>0.13800000000000001</v>
      </c>
      <c r="D11">
        <v>0.154</v>
      </c>
      <c r="E11">
        <v>0.193</v>
      </c>
      <c r="F11">
        <v>0.17299999999999999</v>
      </c>
      <c r="G11">
        <v>0.183</v>
      </c>
      <c r="H11">
        <v>0.17899999999999999</v>
      </c>
      <c r="I11">
        <v>4.7E-2</v>
      </c>
    </row>
    <row r="13" spans="1:9">
      <c r="A13" t="s">
        <v>15</v>
      </c>
    </row>
    <row r="14" spans="1:9">
      <c r="B14">
        <v>0</v>
      </c>
      <c r="C14">
        <v>0.01</v>
      </c>
      <c r="D14">
        <v>0.1</v>
      </c>
      <c r="E14">
        <v>1</v>
      </c>
      <c r="F14">
        <v>10</v>
      </c>
      <c r="G14">
        <v>20</v>
      </c>
      <c r="H14">
        <v>100</v>
      </c>
    </row>
    <row r="15" spans="1:9">
      <c r="A15" t="s">
        <v>1</v>
      </c>
      <c r="B15">
        <f>B3/B9</f>
        <v>33629.370629370635</v>
      </c>
      <c r="C15">
        <f t="shared" ref="C15:H15" si="0">C3/C9</f>
        <v>30031.25</v>
      </c>
      <c r="D15">
        <f t="shared" si="0"/>
        <v>27893.442622950821</v>
      </c>
      <c r="E15">
        <f t="shared" si="0"/>
        <v>70043.010752688177</v>
      </c>
      <c r="F15">
        <f t="shared" si="0"/>
        <v>136613.92405063292</v>
      </c>
      <c r="G15">
        <f t="shared" si="0"/>
        <v>169666.66666666666</v>
      </c>
      <c r="H15">
        <f t="shared" si="0"/>
        <v>183159.76331360947</v>
      </c>
    </row>
    <row r="16" spans="1:9">
      <c r="A16" t="s">
        <v>2</v>
      </c>
      <c r="B16">
        <f t="shared" ref="B16:H17" si="1">B4/B10</f>
        <v>31277.419354838708</v>
      </c>
      <c r="C16">
        <f t="shared" si="1"/>
        <v>34979.865771812081</v>
      </c>
      <c r="D16">
        <f t="shared" si="1"/>
        <v>32385.964912280699</v>
      </c>
      <c r="E16">
        <f t="shared" si="1"/>
        <v>72355.1912568306</v>
      </c>
      <c r="F16">
        <f t="shared" si="1"/>
        <v>161146.49681528663</v>
      </c>
      <c r="G16">
        <f t="shared" si="1"/>
        <v>170814.8148148148</v>
      </c>
      <c r="H16">
        <f t="shared" si="1"/>
        <v>191280.61224489796</v>
      </c>
    </row>
    <row r="17" spans="1:8">
      <c r="A17" t="s">
        <v>3</v>
      </c>
      <c r="B17">
        <f t="shared" si="1"/>
        <v>39213.235294117643</v>
      </c>
      <c r="C17">
        <f t="shared" si="1"/>
        <v>35920.289855072464</v>
      </c>
      <c r="D17">
        <f t="shared" si="1"/>
        <v>33740.259740259738</v>
      </c>
      <c r="E17">
        <f t="shared" si="1"/>
        <v>75891.191709844556</v>
      </c>
      <c r="F17">
        <f t="shared" si="1"/>
        <v>133705.20231213875</v>
      </c>
      <c r="G17">
        <f t="shared" si="1"/>
        <v>158262.29508196723</v>
      </c>
      <c r="H17">
        <f t="shared" si="1"/>
        <v>176000</v>
      </c>
    </row>
    <row r="18" spans="1:8">
      <c r="A18" t="s">
        <v>16</v>
      </c>
      <c r="B18">
        <f>AVERAGE(B15:B17)</f>
        <v>34706.675092775666</v>
      </c>
      <c r="C18">
        <f t="shared" ref="C18:H18" si="2">AVERAGE(C15:C17)</f>
        <v>33643.801875628182</v>
      </c>
      <c r="D18">
        <f t="shared" si="2"/>
        <v>31339.889091830421</v>
      </c>
      <c r="E18">
        <f t="shared" si="2"/>
        <v>72763.131239787777</v>
      </c>
      <c r="F18">
        <f t="shared" si="2"/>
        <v>143821.87439268609</v>
      </c>
      <c r="G18">
        <f t="shared" si="2"/>
        <v>166247.92552114956</v>
      </c>
      <c r="H18">
        <f t="shared" si="2"/>
        <v>183480.12518616914</v>
      </c>
    </row>
    <row r="19" spans="1:8">
      <c r="A19" t="s">
        <v>17</v>
      </c>
      <c r="B19">
        <f>STDEV(B15:B17)</f>
        <v>4076.1173113249201</v>
      </c>
      <c r="C19">
        <f t="shared" ref="C19:H19" si="3">STDEV(C15:C17)</f>
        <v>3163.6999944167515</v>
      </c>
      <c r="D19">
        <f t="shared" si="3"/>
        <v>3060.5593553159824</v>
      </c>
      <c r="E19">
        <f t="shared" si="3"/>
        <v>2945.3550548589133</v>
      </c>
      <c r="F19">
        <f t="shared" si="3"/>
        <v>15073.887093323076</v>
      </c>
      <c r="G19">
        <f t="shared" si="3"/>
        <v>6939.5447383758974</v>
      </c>
      <c r="H19">
        <f t="shared" si="3"/>
        <v>7645.3418132725637</v>
      </c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E7AD5-0039-4D41-BEF9-CA30554FA8E9}">
  <dimension ref="A1:N17"/>
  <sheetViews>
    <sheetView workbookViewId="0">
      <selection activeCell="B6" sqref="B6:I6"/>
    </sheetView>
  </sheetViews>
  <sheetFormatPr baseColWidth="10" defaultRowHeight="20"/>
  <sheetData>
    <row r="1" spans="1:14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4">
      <c r="A2" t="s">
        <v>5</v>
      </c>
      <c r="B2">
        <v>0.14299999999999999</v>
      </c>
      <c r="C2">
        <v>0.128</v>
      </c>
      <c r="D2">
        <v>0.122</v>
      </c>
      <c r="E2">
        <v>0.186</v>
      </c>
      <c r="F2">
        <v>0.158</v>
      </c>
      <c r="G2">
        <v>0.183</v>
      </c>
      <c r="H2">
        <v>0.16900000000000001</v>
      </c>
      <c r="I2">
        <v>5.2999999999999999E-2</v>
      </c>
      <c r="J2">
        <v>0.05</v>
      </c>
      <c r="K2">
        <v>5.0999999999999997E-2</v>
      </c>
      <c r="L2">
        <v>5.0999999999999997E-2</v>
      </c>
      <c r="M2">
        <v>0.05</v>
      </c>
      <c r="N2" t="s">
        <v>6</v>
      </c>
    </row>
    <row r="3" spans="1:14">
      <c r="B3">
        <v>3.7999999999999999E-2</v>
      </c>
      <c r="C3">
        <v>4.1000000000000002E-2</v>
      </c>
      <c r="D3">
        <v>4.1000000000000002E-2</v>
      </c>
      <c r="E3">
        <v>3.9E-2</v>
      </c>
      <c r="F3">
        <v>3.7999999999999999E-2</v>
      </c>
      <c r="G3">
        <v>3.7999999999999999E-2</v>
      </c>
      <c r="H3">
        <v>3.7999999999999999E-2</v>
      </c>
      <c r="I3">
        <v>3.9E-2</v>
      </c>
      <c r="J3">
        <v>4.3999999999999997E-2</v>
      </c>
      <c r="K3">
        <v>4.3999999999999997E-2</v>
      </c>
      <c r="L3">
        <v>4.3999999999999997E-2</v>
      </c>
      <c r="M3">
        <v>4.2000000000000003E-2</v>
      </c>
      <c r="N3" t="s">
        <v>7</v>
      </c>
    </row>
    <row r="4" spans="1:14">
      <c r="A4" t="s">
        <v>8</v>
      </c>
      <c r="B4">
        <v>0.155</v>
      </c>
      <c r="C4">
        <v>0.14899999999999999</v>
      </c>
      <c r="D4">
        <v>0.17100000000000001</v>
      </c>
      <c r="E4">
        <v>0.183</v>
      </c>
      <c r="F4">
        <v>0.157</v>
      </c>
      <c r="G4">
        <v>0.189</v>
      </c>
      <c r="H4">
        <v>0.19600000000000001</v>
      </c>
      <c r="I4">
        <v>5.5E-2</v>
      </c>
      <c r="J4">
        <v>0.05</v>
      </c>
      <c r="K4">
        <v>0.05</v>
      </c>
      <c r="L4">
        <v>0.05</v>
      </c>
      <c r="M4">
        <v>0.05</v>
      </c>
      <c r="N4" t="s">
        <v>6</v>
      </c>
    </row>
    <row r="5" spans="1:14">
      <c r="B5">
        <v>3.7999999999999999E-2</v>
      </c>
      <c r="C5">
        <v>0.04</v>
      </c>
      <c r="D5">
        <v>3.9E-2</v>
      </c>
      <c r="E5">
        <v>3.9E-2</v>
      </c>
      <c r="F5">
        <v>3.9E-2</v>
      </c>
      <c r="G5">
        <v>3.6999999999999998E-2</v>
      </c>
      <c r="H5">
        <v>4.1000000000000002E-2</v>
      </c>
      <c r="I5">
        <v>4.1000000000000002E-2</v>
      </c>
      <c r="J5">
        <v>4.3999999999999997E-2</v>
      </c>
      <c r="K5">
        <v>4.3999999999999997E-2</v>
      </c>
      <c r="L5">
        <v>4.2999999999999997E-2</v>
      </c>
      <c r="M5">
        <v>4.2000000000000003E-2</v>
      </c>
      <c r="N5" t="s">
        <v>7</v>
      </c>
    </row>
    <row r="6" spans="1:14">
      <c r="A6" t="s">
        <v>9</v>
      </c>
      <c r="B6">
        <v>0.13600000000000001</v>
      </c>
      <c r="C6">
        <v>0.13800000000000001</v>
      </c>
      <c r="D6">
        <v>0.154</v>
      </c>
      <c r="E6">
        <v>0.193</v>
      </c>
      <c r="F6">
        <v>0.17299999999999999</v>
      </c>
      <c r="G6">
        <v>0.183</v>
      </c>
      <c r="H6">
        <v>0.17899999999999999</v>
      </c>
      <c r="I6">
        <v>4.7E-2</v>
      </c>
      <c r="J6">
        <v>5.0999999999999997E-2</v>
      </c>
      <c r="K6">
        <v>0.05</v>
      </c>
      <c r="L6">
        <v>5.0999999999999997E-2</v>
      </c>
      <c r="M6">
        <v>0.05</v>
      </c>
      <c r="N6" t="s">
        <v>6</v>
      </c>
    </row>
    <row r="7" spans="1:14">
      <c r="B7">
        <v>2.4E-2</v>
      </c>
      <c r="C7">
        <v>3.9E-2</v>
      </c>
      <c r="D7">
        <v>4.3999999999999997E-2</v>
      </c>
      <c r="E7">
        <v>3.9E-2</v>
      </c>
      <c r="F7">
        <v>0.04</v>
      </c>
      <c r="G7">
        <v>3.9E-2</v>
      </c>
      <c r="H7">
        <v>0.04</v>
      </c>
      <c r="I7">
        <v>3.9E-2</v>
      </c>
      <c r="J7">
        <v>4.2999999999999997E-2</v>
      </c>
      <c r="K7">
        <v>4.2999999999999997E-2</v>
      </c>
      <c r="L7">
        <v>4.2999999999999997E-2</v>
      </c>
      <c r="M7">
        <v>4.2999999999999997E-2</v>
      </c>
      <c r="N7" t="s">
        <v>7</v>
      </c>
    </row>
    <row r="8" spans="1:14">
      <c r="A8" t="s">
        <v>10</v>
      </c>
      <c r="B8">
        <v>5.0999999999999997E-2</v>
      </c>
      <c r="C8">
        <v>5.0999999999999997E-2</v>
      </c>
      <c r="D8">
        <v>0.05</v>
      </c>
      <c r="E8">
        <v>0.05</v>
      </c>
      <c r="F8">
        <v>5.0999999999999997E-2</v>
      </c>
      <c r="G8">
        <v>0.05</v>
      </c>
      <c r="H8">
        <v>5.1999999999999998E-2</v>
      </c>
      <c r="I8">
        <v>0.05</v>
      </c>
      <c r="J8">
        <v>5.0999999999999997E-2</v>
      </c>
      <c r="K8">
        <v>5.0999999999999997E-2</v>
      </c>
      <c r="L8">
        <v>0.05</v>
      </c>
      <c r="M8">
        <v>0.05</v>
      </c>
      <c r="N8" t="s">
        <v>6</v>
      </c>
    </row>
    <row r="9" spans="1:14">
      <c r="B9">
        <v>4.2999999999999997E-2</v>
      </c>
      <c r="C9">
        <v>4.2999999999999997E-2</v>
      </c>
      <c r="D9">
        <v>4.2999999999999997E-2</v>
      </c>
      <c r="E9">
        <v>4.2999999999999997E-2</v>
      </c>
      <c r="F9">
        <v>4.3999999999999997E-2</v>
      </c>
      <c r="G9">
        <v>4.3999999999999997E-2</v>
      </c>
      <c r="H9">
        <v>4.4999999999999998E-2</v>
      </c>
      <c r="I9">
        <v>4.2999999999999997E-2</v>
      </c>
      <c r="J9">
        <v>4.2999999999999997E-2</v>
      </c>
      <c r="K9">
        <v>4.2999999999999997E-2</v>
      </c>
      <c r="L9">
        <v>4.2000000000000003E-2</v>
      </c>
      <c r="M9">
        <v>4.2999999999999997E-2</v>
      </c>
      <c r="N9" t="s">
        <v>7</v>
      </c>
    </row>
    <row r="10" spans="1:14">
      <c r="A10" t="s">
        <v>11</v>
      </c>
      <c r="B10">
        <v>5.2999999999999999E-2</v>
      </c>
      <c r="C10">
        <v>0.05</v>
      </c>
      <c r="D10">
        <v>0.06</v>
      </c>
      <c r="E10">
        <v>5.1999999999999998E-2</v>
      </c>
      <c r="F10">
        <v>5.2999999999999999E-2</v>
      </c>
      <c r="G10">
        <v>5.3999999999999999E-2</v>
      </c>
      <c r="H10">
        <v>5.2999999999999999E-2</v>
      </c>
      <c r="I10">
        <v>5.2999999999999999E-2</v>
      </c>
      <c r="J10">
        <v>5.1999999999999998E-2</v>
      </c>
      <c r="K10">
        <v>5.2999999999999999E-2</v>
      </c>
      <c r="L10">
        <v>5.1999999999999998E-2</v>
      </c>
      <c r="M10">
        <v>5.0999999999999997E-2</v>
      </c>
      <c r="N10" t="s">
        <v>6</v>
      </c>
    </row>
    <row r="11" spans="1:14">
      <c r="B11">
        <v>4.3999999999999997E-2</v>
      </c>
      <c r="C11">
        <v>4.2999999999999997E-2</v>
      </c>
      <c r="D11">
        <v>5.1999999999999998E-2</v>
      </c>
      <c r="E11">
        <v>4.3999999999999997E-2</v>
      </c>
      <c r="F11">
        <v>4.3999999999999997E-2</v>
      </c>
      <c r="G11">
        <v>4.7E-2</v>
      </c>
      <c r="H11">
        <v>4.4999999999999998E-2</v>
      </c>
      <c r="I11">
        <v>4.5999999999999999E-2</v>
      </c>
      <c r="J11">
        <v>4.4999999999999998E-2</v>
      </c>
      <c r="K11">
        <v>4.3999999999999997E-2</v>
      </c>
      <c r="L11">
        <v>4.3999999999999997E-2</v>
      </c>
      <c r="M11">
        <v>4.2999999999999997E-2</v>
      </c>
      <c r="N11" t="s">
        <v>7</v>
      </c>
    </row>
    <row r="12" spans="1:14">
      <c r="A12" t="s">
        <v>12</v>
      </c>
      <c r="B12">
        <v>5.0999999999999997E-2</v>
      </c>
      <c r="C12">
        <v>5.0999999999999997E-2</v>
      </c>
      <c r="D12">
        <v>5.0999999999999997E-2</v>
      </c>
      <c r="E12">
        <v>5.0999999999999997E-2</v>
      </c>
      <c r="F12">
        <v>5.1999999999999998E-2</v>
      </c>
      <c r="G12">
        <v>0.05</v>
      </c>
      <c r="H12">
        <v>5.0999999999999997E-2</v>
      </c>
      <c r="I12">
        <v>5.0999999999999997E-2</v>
      </c>
      <c r="J12">
        <v>5.0999999999999997E-2</v>
      </c>
      <c r="K12">
        <v>5.0999999999999997E-2</v>
      </c>
      <c r="L12">
        <v>5.0999999999999997E-2</v>
      </c>
      <c r="M12">
        <v>5.0999999999999997E-2</v>
      </c>
      <c r="N12" t="s">
        <v>6</v>
      </c>
    </row>
    <row r="13" spans="1:14">
      <c r="B13">
        <v>4.2999999999999997E-2</v>
      </c>
      <c r="C13">
        <v>4.3999999999999997E-2</v>
      </c>
      <c r="D13">
        <v>4.2999999999999997E-2</v>
      </c>
      <c r="E13">
        <v>4.3999999999999997E-2</v>
      </c>
      <c r="F13">
        <v>4.4999999999999998E-2</v>
      </c>
      <c r="G13">
        <v>4.2000000000000003E-2</v>
      </c>
      <c r="H13">
        <v>4.2000000000000003E-2</v>
      </c>
      <c r="I13">
        <v>4.3999999999999997E-2</v>
      </c>
      <c r="J13">
        <v>4.2999999999999997E-2</v>
      </c>
      <c r="K13">
        <v>4.3999999999999997E-2</v>
      </c>
      <c r="L13">
        <v>4.4999999999999998E-2</v>
      </c>
      <c r="M13">
        <v>4.2999999999999997E-2</v>
      </c>
      <c r="N13" t="s">
        <v>7</v>
      </c>
    </row>
    <row r="14" spans="1:14">
      <c r="A14" t="s">
        <v>13</v>
      </c>
      <c r="B14">
        <v>5.0999999999999997E-2</v>
      </c>
      <c r="C14">
        <v>5.1999999999999998E-2</v>
      </c>
      <c r="D14">
        <v>5.1999999999999998E-2</v>
      </c>
      <c r="E14">
        <v>5.1999999999999998E-2</v>
      </c>
      <c r="F14">
        <v>5.0999999999999997E-2</v>
      </c>
      <c r="G14">
        <v>5.0999999999999997E-2</v>
      </c>
      <c r="H14">
        <v>5.2999999999999999E-2</v>
      </c>
      <c r="I14">
        <v>5.1999999999999998E-2</v>
      </c>
      <c r="J14">
        <v>5.0999999999999997E-2</v>
      </c>
      <c r="K14">
        <v>5.1999999999999998E-2</v>
      </c>
      <c r="L14">
        <v>5.1999999999999998E-2</v>
      </c>
      <c r="M14">
        <v>5.1999999999999998E-2</v>
      </c>
      <c r="N14" t="s">
        <v>6</v>
      </c>
    </row>
    <row r="15" spans="1:14">
      <c r="B15">
        <v>4.2999999999999997E-2</v>
      </c>
      <c r="C15">
        <v>4.4999999999999998E-2</v>
      </c>
      <c r="D15">
        <v>4.5999999999999999E-2</v>
      </c>
      <c r="E15">
        <v>4.4999999999999998E-2</v>
      </c>
      <c r="F15">
        <v>4.4999999999999998E-2</v>
      </c>
      <c r="G15">
        <v>4.2999999999999997E-2</v>
      </c>
      <c r="H15">
        <v>4.3999999999999997E-2</v>
      </c>
      <c r="I15">
        <v>4.3999999999999997E-2</v>
      </c>
      <c r="J15">
        <v>4.4999999999999998E-2</v>
      </c>
      <c r="K15">
        <v>4.5999999999999999E-2</v>
      </c>
      <c r="L15">
        <v>4.3999999999999997E-2</v>
      </c>
      <c r="M15">
        <v>4.2999999999999997E-2</v>
      </c>
      <c r="N15" t="s">
        <v>7</v>
      </c>
    </row>
    <row r="16" spans="1:14">
      <c r="A16" t="s">
        <v>14</v>
      </c>
      <c r="B16">
        <v>5.0999999999999997E-2</v>
      </c>
      <c r="C16">
        <v>5.0999999999999997E-2</v>
      </c>
      <c r="D16">
        <v>5.1999999999999998E-2</v>
      </c>
      <c r="E16">
        <v>5.0999999999999997E-2</v>
      </c>
      <c r="F16">
        <v>5.1999999999999998E-2</v>
      </c>
      <c r="G16">
        <v>0.05</v>
      </c>
      <c r="H16">
        <v>5.0999999999999997E-2</v>
      </c>
      <c r="I16">
        <v>0.05</v>
      </c>
      <c r="J16">
        <v>5.0999999999999997E-2</v>
      </c>
      <c r="K16">
        <v>5.0999999999999997E-2</v>
      </c>
      <c r="L16">
        <v>5.0999999999999997E-2</v>
      </c>
      <c r="M16">
        <v>5.1999999999999998E-2</v>
      </c>
      <c r="N16" t="s">
        <v>6</v>
      </c>
    </row>
    <row r="17" spans="2:14">
      <c r="B17">
        <v>4.2999999999999997E-2</v>
      </c>
      <c r="C17">
        <v>4.3999999999999997E-2</v>
      </c>
      <c r="D17">
        <v>4.4999999999999998E-2</v>
      </c>
      <c r="E17">
        <v>4.3999999999999997E-2</v>
      </c>
      <c r="F17">
        <v>4.3999999999999997E-2</v>
      </c>
      <c r="G17">
        <v>4.2000000000000003E-2</v>
      </c>
      <c r="H17">
        <v>4.2999999999999997E-2</v>
      </c>
      <c r="I17">
        <v>4.2999999999999997E-2</v>
      </c>
      <c r="J17">
        <v>4.2999999999999997E-2</v>
      </c>
      <c r="K17">
        <v>4.3999999999999997E-2</v>
      </c>
      <c r="L17">
        <v>4.2999999999999997E-2</v>
      </c>
      <c r="M17">
        <v>4.2999999999999997E-2</v>
      </c>
      <c r="N17" t="s">
        <v>7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β-gal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NAKAMURA Yusaku</dc:creator>
  <cp:lastModifiedBy>NAKAMURA Yusaku</cp:lastModifiedBy>
  <dcterms:created xsi:type="dcterms:W3CDTF">2024-06-24T04:00:47Z</dcterms:created>
  <dcterms:modified xsi:type="dcterms:W3CDTF">2024-06-27T01:58:21Z</dcterms:modified>
</cp:coreProperties>
</file>