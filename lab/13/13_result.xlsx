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b/13/"/>
    </mc:Choice>
  </mc:AlternateContent>
  <xr:revisionPtr revIDLastSave="0" documentId="13_ncr:1_{C79C707C-1D24-0740-B38F-0233D167723F}" xr6:coauthVersionLast="47" xr6:coauthVersionMax="47" xr10:uidLastSave="{00000000-0000-0000-0000-000000000000}"/>
  <bookViews>
    <workbookView xWindow="360" yWindow="900" windowWidth="29560" windowHeight="18000" activeTab="3" xr2:uid="{BFE5909E-593B-D54E-873A-4538EB39075E}"/>
  </bookViews>
  <sheets>
    <sheet name="luc" sheetId="1" r:id="rId1"/>
    <sheet name="β-gal" sheetId="2" r:id="rId2"/>
    <sheet name="result" sheetId="3" r:id="rId3"/>
    <sheet name="result(補正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4" l="1"/>
  <c r="D33" i="4"/>
  <c r="E33" i="4"/>
  <c r="E36" i="4" s="1"/>
  <c r="F33" i="4"/>
  <c r="G33" i="4"/>
  <c r="H33" i="4"/>
  <c r="I33" i="4"/>
  <c r="J33" i="4"/>
  <c r="K33" i="4"/>
  <c r="L33" i="4"/>
  <c r="M33" i="4"/>
  <c r="C34" i="4"/>
  <c r="D34" i="4"/>
  <c r="E34" i="4"/>
  <c r="F34" i="4"/>
  <c r="G34" i="4"/>
  <c r="H34" i="4"/>
  <c r="I34" i="4"/>
  <c r="K34" i="4"/>
  <c r="L34" i="4"/>
  <c r="M34" i="4"/>
  <c r="C35" i="4"/>
  <c r="D35" i="4"/>
  <c r="E35" i="4"/>
  <c r="F35" i="4"/>
  <c r="G35" i="4"/>
  <c r="H35" i="4"/>
  <c r="K35" i="4"/>
  <c r="L35" i="4"/>
  <c r="M35" i="4"/>
  <c r="B34" i="4"/>
  <c r="B35" i="4"/>
  <c r="B33" i="4"/>
  <c r="C24" i="4"/>
  <c r="D24" i="4"/>
  <c r="E24" i="4"/>
  <c r="F24" i="4"/>
  <c r="G24" i="4"/>
  <c r="H24" i="4"/>
  <c r="I24" i="4"/>
  <c r="J24" i="4"/>
  <c r="K24" i="4"/>
  <c r="L24" i="4"/>
  <c r="M24" i="4"/>
  <c r="C25" i="4"/>
  <c r="D25" i="4"/>
  <c r="E25" i="4"/>
  <c r="F25" i="4"/>
  <c r="G25" i="4"/>
  <c r="H25" i="4"/>
  <c r="I25" i="4"/>
  <c r="J25" i="4"/>
  <c r="K25" i="4"/>
  <c r="L25" i="4"/>
  <c r="M25" i="4"/>
  <c r="C26" i="4"/>
  <c r="D26" i="4"/>
  <c r="E26" i="4"/>
  <c r="F26" i="4"/>
  <c r="G26" i="4"/>
  <c r="H26" i="4"/>
  <c r="K26" i="4"/>
  <c r="L26" i="4"/>
  <c r="M26" i="4"/>
  <c r="B25" i="4"/>
  <c r="B26" i="4"/>
  <c r="B24" i="4"/>
  <c r="C15" i="4"/>
  <c r="D15" i="4"/>
  <c r="E15" i="4"/>
  <c r="F15" i="4"/>
  <c r="G15" i="4"/>
  <c r="H15" i="4"/>
  <c r="I15" i="4"/>
  <c r="J15" i="4"/>
  <c r="K15" i="4"/>
  <c r="L15" i="4"/>
  <c r="M15" i="4"/>
  <c r="C16" i="4"/>
  <c r="D16" i="4"/>
  <c r="E16" i="4"/>
  <c r="F16" i="4"/>
  <c r="G16" i="4"/>
  <c r="H16" i="4"/>
  <c r="I16" i="4"/>
  <c r="J16" i="4"/>
  <c r="K16" i="4"/>
  <c r="L16" i="4"/>
  <c r="M16" i="4"/>
  <c r="C17" i="4"/>
  <c r="D17" i="4"/>
  <c r="E17" i="4"/>
  <c r="F17" i="4"/>
  <c r="G17" i="4"/>
  <c r="H17" i="4"/>
  <c r="K17" i="4"/>
  <c r="L17" i="4"/>
  <c r="M17" i="4"/>
  <c r="B16" i="4"/>
  <c r="B17" i="4"/>
  <c r="B15" i="4"/>
  <c r="B15" i="3"/>
  <c r="B16" i="3"/>
  <c r="B17" i="3"/>
  <c r="C15" i="3"/>
  <c r="D15" i="3"/>
  <c r="E15" i="3"/>
  <c r="F15" i="3"/>
  <c r="F24" i="3" s="1"/>
  <c r="G15" i="3"/>
  <c r="G24" i="3" s="1"/>
  <c r="H15" i="3"/>
  <c r="H24" i="3" s="1"/>
  <c r="I15" i="3"/>
  <c r="I24" i="3" s="1"/>
  <c r="J15" i="3"/>
  <c r="J24" i="3" s="1"/>
  <c r="K15" i="3"/>
  <c r="K24" i="3" s="1"/>
  <c r="L15" i="3"/>
  <c r="L24" i="3" s="1"/>
  <c r="M15" i="3"/>
  <c r="C16" i="3"/>
  <c r="C25" i="3" s="1"/>
  <c r="D16" i="3"/>
  <c r="E16" i="3"/>
  <c r="F16" i="3"/>
  <c r="G16" i="3"/>
  <c r="H16" i="3"/>
  <c r="H25" i="3" s="1"/>
  <c r="I16" i="3"/>
  <c r="I25" i="3" s="1"/>
  <c r="J16" i="3"/>
  <c r="J25" i="3" s="1"/>
  <c r="K16" i="3"/>
  <c r="K25" i="3" s="1"/>
  <c r="L16" i="3"/>
  <c r="M16" i="3"/>
  <c r="M25" i="3" s="1"/>
  <c r="C17" i="3"/>
  <c r="C26" i="3" s="1"/>
  <c r="D17" i="3"/>
  <c r="D26" i="3" s="1"/>
  <c r="E17" i="3"/>
  <c r="E26" i="3" s="1"/>
  <c r="F17" i="3"/>
  <c r="F26" i="3" s="1"/>
  <c r="G17" i="3"/>
  <c r="G26" i="3" s="1"/>
  <c r="H17" i="3"/>
  <c r="H26" i="3" s="1"/>
  <c r="K17" i="3"/>
  <c r="K26" i="3" s="1"/>
  <c r="L17" i="3"/>
  <c r="L26" i="3" s="1"/>
  <c r="M17" i="3"/>
  <c r="B24" i="3"/>
  <c r="B25" i="3"/>
  <c r="B26" i="3"/>
  <c r="C24" i="3"/>
  <c r="D24" i="3"/>
  <c r="E24" i="3"/>
  <c r="M24" i="3"/>
  <c r="D25" i="3"/>
  <c r="E25" i="3"/>
  <c r="F25" i="3"/>
  <c r="G25" i="3"/>
  <c r="L25" i="3"/>
  <c r="M26" i="3"/>
  <c r="L27" i="4" l="1"/>
  <c r="M27" i="4"/>
  <c r="B37" i="4"/>
  <c r="K27" i="4"/>
  <c r="K37" i="4"/>
  <c r="J37" i="4"/>
  <c r="L36" i="4"/>
  <c r="M37" i="4"/>
  <c r="D37" i="4"/>
  <c r="E37" i="4"/>
  <c r="J27" i="4"/>
  <c r="L37" i="4"/>
  <c r="C37" i="4"/>
  <c r="F37" i="4"/>
  <c r="F36" i="4"/>
  <c r="G37" i="4"/>
  <c r="G36" i="4"/>
  <c r="H37" i="4"/>
  <c r="H36" i="4"/>
  <c r="I37" i="4"/>
  <c r="I36" i="4"/>
  <c r="D36" i="4"/>
  <c r="B27" i="4"/>
  <c r="C27" i="4"/>
  <c r="D27" i="4"/>
  <c r="E27" i="4"/>
  <c r="F27" i="4"/>
  <c r="J36" i="4"/>
  <c r="G27" i="4"/>
  <c r="K36" i="4"/>
  <c r="H27" i="4"/>
  <c r="B36" i="4"/>
  <c r="I27" i="4"/>
  <c r="C36" i="4"/>
  <c r="M36" i="4" l="1"/>
  <c r="F18" i="3"/>
  <c r="M27" i="3"/>
  <c r="M18" i="3"/>
  <c r="C28" i="3"/>
  <c r="C18" i="3"/>
  <c r="J18" i="3"/>
  <c r="I18" i="3"/>
  <c r="G18" i="3"/>
  <c r="L18" i="3"/>
  <c r="H28" i="3"/>
  <c r="H18" i="3"/>
  <c r="E27" i="3"/>
  <c r="E18" i="3"/>
  <c r="D28" i="3"/>
  <c r="D18" i="3"/>
  <c r="K18" i="3"/>
  <c r="B18" i="3"/>
  <c r="D27" i="3" l="1"/>
  <c r="E28" i="3"/>
  <c r="F28" i="3"/>
  <c r="F27" i="3"/>
  <c r="K28" i="3"/>
  <c r="K27" i="3"/>
  <c r="M28" i="3"/>
  <c r="G28" i="3"/>
  <c r="G27" i="3"/>
  <c r="J27" i="3"/>
  <c r="J28" i="3"/>
  <c r="L28" i="3"/>
  <c r="L27" i="3"/>
  <c r="C27" i="3"/>
  <c r="I28" i="3"/>
  <c r="I27" i="3"/>
  <c r="H27" i="3"/>
  <c r="B27" i="3"/>
  <c r="B28" i="3"/>
</calcChain>
</file>

<file path=xl/sharedStrings.xml><?xml version="1.0" encoding="utf-8"?>
<sst xmlns="http://schemas.openxmlformats.org/spreadsheetml/2006/main" count="190" uniqueCount="32">
  <si>
    <t>n1</t>
    <phoneticPr fontId="1"/>
  </si>
  <si>
    <t>n2</t>
    <phoneticPr fontId="1"/>
  </si>
  <si>
    <t>n3</t>
    <phoneticPr fontId="1"/>
  </si>
  <si>
    <t>control</t>
    <phoneticPr fontId="1"/>
  </si>
  <si>
    <t>DCA</t>
    <phoneticPr fontId="1"/>
  </si>
  <si>
    <t>PPL</t>
    <phoneticPr fontId="1"/>
  </si>
  <si>
    <t>PPD</t>
    <phoneticPr fontId="1"/>
  </si>
  <si>
    <t>PPH</t>
    <phoneticPr fontId="1"/>
  </si>
  <si>
    <t>PPV</t>
    <phoneticPr fontId="1"/>
  </si>
  <si>
    <t>PPA</t>
    <phoneticPr fontId="1"/>
  </si>
  <si>
    <t>PPI</t>
    <phoneticPr fontId="1"/>
  </si>
  <si>
    <t>PPN</t>
    <phoneticPr fontId="1"/>
  </si>
  <si>
    <t>PPM</t>
    <phoneticPr fontId="1"/>
  </si>
  <si>
    <t>PPQ</t>
    <phoneticPr fontId="1"/>
  </si>
  <si>
    <t>PPC</t>
    <phoneticPr fontId="1"/>
  </si>
  <si>
    <t>A</t>
  </si>
  <si>
    <t>Read 1:415</t>
  </si>
  <si>
    <t>Read 2:655</t>
  </si>
  <si>
    <t>B</t>
  </si>
  <si>
    <t>C</t>
  </si>
  <si>
    <t>D</t>
  </si>
  <si>
    <t>E</t>
  </si>
  <si>
    <t>F</t>
  </si>
  <si>
    <t>G</t>
  </si>
  <si>
    <t>H</t>
  </si>
  <si>
    <t>気泡ができていて大きい値が出ていた可能性</t>
    <rPh sb="0" eb="2">
      <t xml:space="preserve">キホウ </t>
    </rPh>
    <rPh sb="8" eb="9">
      <t xml:space="preserve">オオキイ </t>
    </rPh>
    <rPh sb="11" eb="12">
      <t xml:space="preserve">アタイガ </t>
    </rPh>
    <rPh sb="13" eb="14">
      <t xml:space="preserve">デテイタ </t>
    </rPh>
    <rPh sb="17" eb="20">
      <t xml:space="preserve">カノウセイ </t>
    </rPh>
    <phoneticPr fontId="1"/>
  </si>
  <si>
    <t>luc</t>
    <phoneticPr fontId="1"/>
  </si>
  <si>
    <t>β-gal</t>
    <phoneticPr fontId="1"/>
  </si>
  <si>
    <t>Luc activity</t>
    <phoneticPr fontId="1"/>
  </si>
  <si>
    <t>Relative Luc activity</t>
    <phoneticPr fontId="1"/>
  </si>
  <si>
    <t>ave</t>
    <phoneticPr fontId="1"/>
  </si>
  <si>
    <t>補正</t>
    <rPh sb="0" eb="2">
      <t xml:space="preserve">ホセイ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</si>
</sst>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result!$B$28:$M$28</c:f>
                <c:numCache>
                  <c:formatCode>General</c:formatCode>
                  <c:ptCount val="12"/>
                  <c:pt idx="0">
                    <c:v>5.0517290383560329</c:v>
                  </c:pt>
                  <c:pt idx="1">
                    <c:v>34.965975802333361</c:v>
                  </c:pt>
                  <c:pt idx="2">
                    <c:v>3.6604495919477538</c:v>
                  </c:pt>
                  <c:pt idx="3">
                    <c:v>9.9301688051205783</c:v>
                  </c:pt>
                  <c:pt idx="4">
                    <c:v>3.5671345373738959</c:v>
                  </c:pt>
                  <c:pt idx="5">
                    <c:v>1.3943375116521701</c:v>
                  </c:pt>
                  <c:pt idx="6">
                    <c:v>7.083707659993582</c:v>
                  </c:pt>
                  <c:pt idx="7">
                    <c:v>1.0947119717777329</c:v>
                  </c:pt>
                  <c:pt idx="8">
                    <c:v>10.002207024274353</c:v>
                  </c:pt>
                  <c:pt idx="9">
                    <c:v>8.9885412731896857</c:v>
                  </c:pt>
                  <c:pt idx="10">
                    <c:v>5.5011978024555539</c:v>
                  </c:pt>
                  <c:pt idx="11">
                    <c:v>8.9162777478026509</c:v>
                  </c:pt>
                </c:numCache>
              </c:numRef>
            </c:plus>
            <c:minus>
              <c:numRef>
                <c:f>result!$B$28:$M$28</c:f>
                <c:numCache>
                  <c:formatCode>General</c:formatCode>
                  <c:ptCount val="12"/>
                  <c:pt idx="0">
                    <c:v>5.0517290383560329</c:v>
                  </c:pt>
                  <c:pt idx="1">
                    <c:v>34.965975802333361</c:v>
                  </c:pt>
                  <c:pt idx="2">
                    <c:v>3.6604495919477538</c:v>
                  </c:pt>
                  <c:pt idx="3">
                    <c:v>9.9301688051205783</c:v>
                  </c:pt>
                  <c:pt idx="4">
                    <c:v>3.5671345373738959</c:v>
                  </c:pt>
                  <c:pt idx="5">
                    <c:v>1.3943375116521701</c:v>
                  </c:pt>
                  <c:pt idx="6">
                    <c:v>7.083707659993582</c:v>
                  </c:pt>
                  <c:pt idx="7">
                    <c:v>1.0947119717777329</c:v>
                  </c:pt>
                  <c:pt idx="8">
                    <c:v>10.002207024274353</c:v>
                  </c:pt>
                  <c:pt idx="9">
                    <c:v>8.9885412731896857</c:v>
                  </c:pt>
                  <c:pt idx="10">
                    <c:v>5.5011978024555539</c:v>
                  </c:pt>
                  <c:pt idx="11">
                    <c:v>8.9162777478026509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result!$B$23:$M$23</c:f>
              <c:strCache>
                <c:ptCount val="12"/>
                <c:pt idx="0">
                  <c:v>control</c:v>
                </c:pt>
                <c:pt idx="1">
                  <c:v>DCA</c:v>
                </c:pt>
                <c:pt idx="2">
                  <c:v>PPL</c:v>
                </c:pt>
                <c:pt idx="3">
                  <c:v>PPD</c:v>
                </c:pt>
                <c:pt idx="4">
                  <c:v>PPH</c:v>
                </c:pt>
                <c:pt idx="5">
                  <c:v>PPV</c:v>
                </c:pt>
                <c:pt idx="6">
                  <c:v>PPA</c:v>
                </c:pt>
                <c:pt idx="7">
                  <c:v>PPI</c:v>
                </c:pt>
                <c:pt idx="8">
                  <c:v>PPN</c:v>
                </c:pt>
                <c:pt idx="9">
                  <c:v>PPM</c:v>
                </c:pt>
                <c:pt idx="10">
                  <c:v>PPQ</c:v>
                </c:pt>
                <c:pt idx="11">
                  <c:v>PPC</c:v>
                </c:pt>
              </c:strCache>
            </c:strRef>
          </c:cat>
          <c:val>
            <c:numRef>
              <c:f>result!$B$27:$M$27</c:f>
              <c:numCache>
                <c:formatCode>General</c:formatCode>
                <c:ptCount val="12"/>
                <c:pt idx="0">
                  <c:v>7.958796740166936E-8</c:v>
                </c:pt>
                <c:pt idx="1">
                  <c:v>100.00000008529416</c:v>
                </c:pt>
                <c:pt idx="2">
                  <c:v>0.3622174177231936</c:v>
                </c:pt>
                <c:pt idx="3">
                  <c:v>14.464447650962803</c:v>
                </c:pt>
                <c:pt idx="4">
                  <c:v>11.560110004977714</c:v>
                </c:pt>
                <c:pt idx="5">
                  <c:v>17.539747255156485</c:v>
                </c:pt>
                <c:pt idx="6">
                  <c:v>15.001738725507161</c:v>
                </c:pt>
                <c:pt idx="7">
                  <c:v>4.3501252942003319</c:v>
                </c:pt>
                <c:pt idx="8">
                  <c:v>-21.672140051997509</c:v>
                </c:pt>
                <c:pt idx="9">
                  <c:v>-5.1986014119121249</c:v>
                </c:pt>
                <c:pt idx="10">
                  <c:v>10.309018109543446</c:v>
                </c:pt>
                <c:pt idx="11">
                  <c:v>25.537393461399137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1-AA4C-B8CE-98AF2CE1D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06208"/>
        <c:axId val="78568256"/>
      </c:barChart>
      <c:catAx>
        <c:axId val="39600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8568256"/>
        <c:crosses val="autoZero"/>
        <c:auto val="1"/>
        <c:lblAlgn val="ctr"/>
        <c:lblOffset val="100"/>
        <c:noMultiLvlLbl val="0"/>
      </c:catAx>
      <c:valAx>
        <c:axId val="78568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Relative</a:t>
                </a:r>
                <a:r>
                  <a:rPr lang="en-US" altLang="ja-JP" baseline="0"/>
                  <a:t> Luc Activity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39600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'result(補正)'!$B$37:$M$37</c:f>
                <c:numCache>
                  <c:formatCode>General</c:formatCode>
                  <c:ptCount val="12"/>
                  <c:pt idx="0">
                    <c:v>7.6154950225450904</c:v>
                  </c:pt>
                  <c:pt idx="1">
                    <c:v>22.494602452641889</c:v>
                  </c:pt>
                  <c:pt idx="2">
                    <c:v>3.4090677760593917</c:v>
                  </c:pt>
                  <c:pt idx="3">
                    <c:v>5.1285913472936802</c:v>
                  </c:pt>
                  <c:pt idx="4">
                    <c:v>3.098709265978393</c:v>
                  </c:pt>
                  <c:pt idx="5">
                    <c:v>4.5459939646533316</c:v>
                  </c:pt>
                  <c:pt idx="6">
                    <c:v>8.1748785657687879</c:v>
                  </c:pt>
                  <c:pt idx="7">
                    <c:v>6.088590584768153</c:v>
                  </c:pt>
                  <c:pt idx="8">
                    <c:v>0</c:v>
                  </c:pt>
                  <c:pt idx="9">
                    <c:v>19.811341521459092</c:v>
                  </c:pt>
                  <c:pt idx="10">
                    <c:v>9.6814323101438458</c:v>
                  </c:pt>
                  <c:pt idx="11">
                    <c:v>7.5154237471109573</c:v>
                  </c:pt>
                </c:numCache>
              </c:numRef>
            </c:plus>
            <c:minus>
              <c:numRef>
                <c:f>'result(補正)'!$B$37:$M$37</c:f>
                <c:numCache>
                  <c:formatCode>General</c:formatCode>
                  <c:ptCount val="12"/>
                  <c:pt idx="0">
                    <c:v>7.6154950225450904</c:v>
                  </c:pt>
                  <c:pt idx="1">
                    <c:v>22.494602452641889</c:v>
                  </c:pt>
                  <c:pt idx="2">
                    <c:v>3.4090677760593917</c:v>
                  </c:pt>
                  <c:pt idx="3">
                    <c:v>5.1285913472936802</c:v>
                  </c:pt>
                  <c:pt idx="4">
                    <c:v>3.098709265978393</c:v>
                  </c:pt>
                  <c:pt idx="5">
                    <c:v>4.5459939646533316</c:v>
                  </c:pt>
                  <c:pt idx="6">
                    <c:v>8.1748785657687879</c:v>
                  </c:pt>
                  <c:pt idx="7">
                    <c:v>6.088590584768153</c:v>
                  </c:pt>
                  <c:pt idx="8">
                    <c:v>0</c:v>
                  </c:pt>
                  <c:pt idx="9">
                    <c:v>19.811341521459092</c:v>
                  </c:pt>
                  <c:pt idx="10">
                    <c:v>9.6814323101438458</c:v>
                  </c:pt>
                  <c:pt idx="11">
                    <c:v>7.5154237471109573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'result(補正)'!$B$32:$M$32</c:f>
              <c:strCache>
                <c:ptCount val="12"/>
                <c:pt idx="0">
                  <c:v>control</c:v>
                </c:pt>
                <c:pt idx="1">
                  <c:v>DCA</c:v>
                </c:pt>
                <c:pt idx="2">
                  <c:v>PPL</c:v>
                </c:pt>
                <c:pt idx="3">
                  <c:v>PPD</c:v>
                </c:pt>
                <c:pt idx="4">
                  <c:v>PPH</c:v>
                </c:pt>
                <c:pt idx="5">
                  <c:v>PPV</c:v>
                </c:pt>
                <c:pt idx="6">
                  <c:v>PPA</c:v>
                </c:pt>
                <c:pt idx="7">
                  <c:v>PPI</c:v>
                </c:pt>
                <c:pt idx="8">
                  <c:v>PPN</c:v>
                </c:pt>
                <c:pt idx="9">
                  <c:v>PPM</c:v>
                </c:pt>
                <c:pt idx="10">
                  <c:v>PPQ</c:v>
                </c:pt>
                <c:pt idx="11">
                  <c:v>PPC</c:v>
                </c:pt>
              </c:strCache>
            </c:strRef>
          </c:cat>
          <c:val>
            <c:numRef>
              <c:f>'result(補正)'!$B$36:$M$36</c:f>
              <c:numCache>
                <c:formatCode>General</c:formatCode>
                <c:ptCount val="12"/>
                <c:pt idx="0">
                  <c:v>-4.2462723707596224E-9</c:v>
                </c:pt>
                <c:pt idx="1">
                  <c:v>100.00000028306637</c:v>
                </c:pt>
                <c:pt idx="2">
                  <c:v>-10.062371867552361</c:v>
                </c:pt>
                <c:pt idx="3">
                  <c:v>-2.3302261309850651</c:v>
                </c:pt>
                <c:pt idx="4">
                  <c:v>-3.6709205510709055</c:v>
                </c:pt>
                <c:pt idx="5">
                  <c:v>4.3607971777008601</c:v>
                </c:pt>
                <c:pt idx="6">
                  <c:v>0.76963504749659162</c:v>
                </c:pt>
                <c:pt idx="7">
                  <c:v>-1.2241992768997461</c:v>
                </c:pt>
                <c:pt idx="8">
                  <c:v>-11.025442625003674</c:v>
                </c:pt>
                <c:pt idx="9">
                  <c:v>0.28978369426876682</c:v>
                </c:pt>
                <c:pt idx="10">
                  <c:v>4.7602076430176972</c:v>
                </c:pt>
                <c:pt idx="11">
                  <c:v>12.067286483461087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0-384F-82B4-781AE4E41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06208"/>
        <c:axId val="78568256"/>
      </c:barChart>
      <c:catAx>
        <c:axId val="39600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8568256"/>
        <c:crosses val="autoZero"/>
        <c:auto val="1"/>
        <c:lblAlgn val="ctr"/>
        <c:lblOffset val="100"/>
        <c:noMultiLvlLbl val="0"/>
      </c:catAx>
      <c:valAx>
        <c:axId val="78568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Relative</a:t>
                </a:r>
                <a:r>
                  <a:rPr lang="en-US" altLang="ja-JP" baseline="0"/>
                  <a:t> Luc Activity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39600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529871</xdr:colOff>
      <xdr:row>15</xdr:row>
      <xdr:rowOff>218806</xdr:rowOff>
    </xdr:from>
    <xdr:to>
      <xdr:col>22</xdr:col>
      <xdr:colOff>354190</xdr:colOff>
      <xdr:row>30</xdr:row>
      <xdr:rowOff>97408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73390E8-953A-C4CC-C0B9-B18F64A2B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411337</xdr:colOff>
      <xdr:row>8</xdr:row>
      <xdr:rowOff>118533</xdr:rowOff>
    </xdr:from>
    <xdr:to>
      <xdr:col>22</xdr:col>
      <xdr:colOff>235656</xdr:colOff>
      <xdr:row>24</xdr:row>
      <xdr:rowOff>199008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479F70F-2006-0744-9CEC-C898DCBE9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F137-ABF6-5749-9C16-471ECB770EB3}">
  <dimension ref="A1:M4"/>
  <sheetViews>
    <sheetView workbookViewId="0">
      <selection activeCell="I16" sqref="I16"/>
    </sheetView>
  </sheetViews>
  <sheetFormatPr baseColWidth="10" defaultRowHeight="20"/>
  <sheetData>
    <row r="1" spans="1:13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>
      <c r="A2" t="s">
        <v>0</v>
      </c>
      <c r="B2">
        <v>1481</v>
      </c>
      <c r="C2">
        <v>9424</v>
      </c>
      <c r="D2">
        <v>1794</v>
      </c>
      <c r="E2">
        <v>2203</v>
      </c>
      <c r="F2">
        <v>2317</v>
      </c>
      <c r="G2">
        <v>2920</v>
      </c>
      <c r="H2">
        <v>3371</v>
      </c>
      <c r="I2">
        <v>1875</v>
      </c>
      <c r="J2">
        <v>981</v>
      </c>
      <c r="K2">
        <v>1825</v>
      </c>
      <c r="L2">
        <v>2548</v>
      </c>
      <c r="M2">
        <v>4138</v>
      </c>
    </row>
    <row r="3" spans="1:13">
      <c r="A3" t="s">
        <v>1</v>
      </c>
      <c r="B3">
        <v>1895</v>
      </c>
      <c r="C3">
        <v>4866</v>
      </c>
      <c r="D3">
        <v>1848</v>
      </c>
      <c r="E3">
        <v>3767</v>
      </c>
      <c r="F3">
        <v>2799</v>
      </c>
      <c r="G3">
        <v>2825</v>
      </c>
      <c r="H3">
        <v>3199</v>
      </c>
      <c r="I3">
        <v>2189</v>
      </c>
      <c r="J3">
        <v>1420</v>
      </c>
      <c r="K3">
        <v>1045</v>
      </c>
      <c r="L3">
        <v>2044</v>
      </c>
      <c r="M3">
        <v>2960</v>
      </c>
    </row>
    <row r="4" spans="1:13">
      <c r="A4" t="s">
        <v>2</v>
      </c>
      <c r="B4">
        <v>1708</v>
      </c>
      <c r="C4">
        <v>6406</v>
      </c>
      <c r="D4">
        <v>2161</v>
      </c>
      <c r="E4">
        <v>2918</v>
      </c>
      <c r="F4">
        <v>3074</v>
      </c>
      <c r="G4">
        <v>3095</v>
      </c>
      <c r="H4">
        <v>2205</v>
      </c>
      <c r="K4">
        <v>1357</v>
      </c>
      <c r="L4">
        <v>2403</v>
      </c>
      <c r="M4">
        <v>3102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E503-7EA9-B84C-984B-49C6759BCE26}">
  <dimension ref="A1:N19"/>
  <sheetViews>
    <sheetView workbookViewId="0">
      <selection activeCell="I16" sqref="I16"/>
    </sheetView>
  </sheetViews>
  <sheetFormatPr baseColWidth="10" defaultRowHeight="20"/>
  <sheetData>
    <row r="1" spans="1:1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4">
      <c r="A2" t="s">
        <v>15</v>
      </c>
      <c r="B2" s="1">
        <v>7.5999999999999998E-2</v>
      </c>
      <c r="C2" s="1">
        <v>9.8000000000000004E-2</v>
      </c>
      <c r="D2" s="1">
        <v>8.5999999999999993E-2</v>
      </c>
      <c r="E2" s="1">
        <v>0.09</v>
      </c>
      <c r="F2" s="1">
        <v>8.6999999999999994E-2</v>
      </c>
      <c r="G2" s="1">
        <v>0.09</v>
      </c>
      <c r="H2" s="1">
        <v>9.8000000000000004E-2</v>
      </c>
      <c r="I2" s="1">
        <v>7.8E-2</v>
      </c>
      <c r="J2" s="1">
        <v>6.9000000000000006E-2</v>
      </c>
      <c r="K2" s="1">
        <v>7.8E-2</v>
      </c>
      <c r="L2" s="1">
        <v>8.2000000000000003E-2</v>
      </c>
      <c r="M2" s="1">
        <v>0.1</v>
      </c>
      <c r="N2" t="s">
        <v>16</v>
      </c>
    </row>
    <row r="3" spans="1:14">
      <c r="B3" s="1">
        <v>3.7999999999999999E-2</v>
      </c>
      <c r="C3" s="1">
        <v>3.9E-2</v>
      </c>
      <c r="D3" s="1">
        <v>4.1000000000000002E-2</v>
      </c>
      <c r="E3" s="1">
        <v>3.9E-2</v>
      </c>
      <c r="F3" s="1">
        <v>3.7999999999999999E-2</v>
      </c>
      <c r="G3" s="1">
        <v>3.6999999999999998E-2</v>
      </c>
      <c r="H3" s="1">
        <v>3.9E-2</v>
      </c>
      <c r="I3" s="1">
        <v>3.9E-2</v>
      </c>
      <c r="J3" s="1">
        <v>3.9E-2</v>
      </c>
      <c r="K3" s="1">
        <v>0.04</v>
      </c>
      <c r="L3" s="1">
        <v>3.9E-2</v>
      </c>
      <c r="M3" s="1">
        <v>3.7999999999999999E-2</v>
      </c>
      <c r="N3" t="s">
        <v>17</v>
      </c>
    </row>
    <row r="4" spans="1:14">
      <c r="A4" t="s">
        <v>18</v>
      </c>
      <c r="B4" s="1">
        <v>7.5999999999999998E-2</v>
      </c>
      <c r="C4" s="1">
        <v>8.3000000000000004E-2</v>
      </c>
      <c r="D4" s="1">
        <v>8.5999999999999993E-2</v>
      </c>
      <c r="E4" s="1">
        <v>0.107</v>
      </c>
      <c r="F4" s="1">
        <v>0.1</v>
      </c>
      <c r="G4" s="1">
        <v>9.0999999999999998E-2</v>
      </c>
      <c r="H4" s="1">
        <v>0.109</v>
      </c>
      <c r="I4" s="1">
        <v>8.7999999999999995E-2</v>
      </c>
      <c r="J4" s="2">
        <v>0.216</v>
      </c>
      <c r="K4" s="1">
        <v>7.4999999999999997E-2</v>
      </c>
      <c r="L4" s="1">
        <v>0.08</v>
      </c>
      <c r="M4" s="1">
        <v>8.6999999999999994E-2</v>
      </c>
      <c r="N4" t="s">
        <v>16</v>
      </c>
    </row>
    <row r="5" spans="1:14">
      <c r="B5" s="1">
        <v>3.7999999999999999E-2</v>
      </c>
      <c r="C5" s="1">
        <v>3.9E-2</v>
      </c>
      <c r="D5" s="1">
        <v>4.1000000000000002E-2</v>
      </c>
      <c r="E5" s="1">
        <v>3.9E-2</v>
      </c>
      <c r="F5" s="1">
        <v>3.7999999999999999E-2</v>
      </c>
      <c r="G5" s="1">
        <v>3.9E-2</v>
      </c>
      <c r="H5" s="1">
        <v>4.3999999999999997E-2</v>
      </c>
      <c r="I5" s="1">
        <v>3.9E-2</v>
      </c>
      <c r="J5" s="2">
        <v>0.65900000000000003</v>
      </c>
      <c r="K5" s="1">
        <v>3.9E-2</v>
      </c>
      <c r="L5" s="1">
        <v>3.9E-2</v>
      </c>
      <c r="M5" s="1">
        <v>3.7999999999999999E-2</v>
      </c>
      <c r="N5" t="s">
        <v>17</v>
      </c>
    </row>
    <row r="6" spans="1:14">
      <c r="A6" t="s">
        <v>19</v>
      </c>
      <c r="B6" s="1">
        <v>7.8E-2</v>
      </c>
      <c r="C6" s="1">
        <v>8.6999999999999994E-2</v>
      </c>
      <c r="D6" s="1">
        <v>8.7999999999999995E-2</v>
      </c>
      <c r="E6" s="1">
        <v>9.7000000000000003E-2</v>
      </c>
      <c r="F6" s="1">
        <v>0.10100000000000001</v>
      </c>
      <c r="G6" s="1">
        <v>9.9000000000000005E-2</v>
      </c>
      <c r="H6" s="1">
        <v>8.2000000000000003E-2</v>
      </c>
      <c r="I6">
        <v>4.4999999999999998E-2</v>
      </c>
      <c r="J6">
        <v>7.9000000000000001E-2</v>
      </c>
      <c r="K6" s="1">
        <v>6.6000000000000003E-2</v>
      </c>
      <c r="L6" s="1">
        <v>9.0999999999999998E-2</v>
      </c>
      <c r="M6" s="1">
        <v>9.6000000000000002E-2</v>
      </c>
      <c r="N6" t="s">
        <v>16</v>
      </c>
    </row>
    <row r="7" spans="1:14">
      <c r="B7" s="1">
        <v>3.7999999999999999E-2</v>
      </c>
      <c r="C7" s="1">
        <v>4.2999999999999997E-2</v>
      </c>
      <c r="D7" s="1">
        <v>3.9E-2</v>
      </c>
      <c r="E7" s="1">
        <v>0.04</v>
      </c>
      <c r="F7" s="1">
        <v>0.04</v>
      </c>
      <c r="G7" s="1">
        <v>3.7999999999999999E-2</v>
      </c>
      <c r="H7" s="1">
        <v>3.7999999999999999E-2</v>
      </c>
      <c r="I7">
        <v>4.2000000000000003E-2</v>
      </c>
      <c r="J7">
        <v>4.9000000000000002E-2</v>
      </c>
      <c r="K7" s="1">
        <v>3.7999999999999999E-2</v>
      </c>
      <c r="L7" s="1">
        <v>3.7999999999999999E-2</v>
      </c>
      <c r="M7" s="1">
        <v>3.9E-2</v>
      </c>
      <c r="N7" t="s">
        <v>17</v>
      </c>
    </row>
    <row r="8" spans="1:14">
      <c r="A8" t="s">
        <v>20</v>
      </c>
      <c r="B8">
        <v>0.05</v>
      </c>
      <c r="C8">
        <v>7.5999999999999998E-2</v>
      </c>
      <c r="D8">
        <v>8.4000000000000005E-2</v>
      </c>
      <c r="E8">
        <v>8.1000000000000003E-2</v>
      </c>
      <c r="F8">
        <v>5.8999999999999997E-2</v>
      </c>
      <c r="G8">
        <v>7.0999999999999994E-2</v>
      </c>
      <c r="H8">
        <v>0.05</v>
      </c>
      <c r="I8">
        <v>0.122</v>
      </c>
      <c r="J8">
        <v>9.1999999999999998E-2</v>
      </c>
      <c r="K8">
        <v>9.0999999999999998E-2</v>
      </c>
      <c r="L8">
        <v>8.5000000000000006E-2</v>
      </c>
      <c r="M8">
        <v>7.1999999999999995E-2</v>
      </c>
      <c r="N8" t="s">
        <v>16</v>
      </c>
    </row>
    <row r="9" spans="1:14">
      <c r="B9">
        <v>4.2999999999999997E-2</v>
      </c>
      <c r="C9">
        <v>4.2999999999999997E-2</v>
      </c>
      <c r="D9">
        <v>4.2999999999999997E-2</v>
      </c>
      <c r="E9">
        <v>4.2999999999999997E-2</v>
      </c>
      <c r="F9">
        <v>4.2999999999999997E-2</v>
      </c>
      <c r="G9">
        <v>4.2999999999999997E-2</v>
      </c>
      <c r="H9">
        <v>4.1000000000000002E-2</v>
      </c>
      <c r="I9">
        <v>8.4000000000000005E-2</v>
      </c>
      <c r="J9">
        <v>6.3E-2</v>
      </c>
      <c r="K9">
        <v>5.6000000000000001E-2</v>
      </c>
      <c r="L9">
        <v>5.1999999999999998E-2</v>
      </c>
      <c r="M9">
        <v>4.2999999999999997E-2</v>
      </c>
      <c r="N9" t="s">
        <v>17</v>
      </c>
    </row>
    <row r="10" spans="1:14">
      <c r="A10" t="s">
        <v>21</v>
      </c>
      <c r="B10">
        <v>0.05</v>
      </c>
      <c r="C10">
        <v>6.5000000000000002E-2</v>
      </c>
      <c r="D10">
        <v>0.11799999999999999</v>
      </c>
      <c r="E10">
        <v>7.2999999999999995E-2</v>
      </c>
      <c r="F10">
        <v>8.5999999999999993E-2</v>
      </c>
      <c r="G10">
        <v>6.6000000000000003E-2</v>
      </c>
      <c r="H10">
        <v>6.5000000000000002E-2</v>
      </c>
      <c r="I10">
        <v>0.104</v>
      </c>
      <c r="J10">
        <v>0.115</v>
      </c>
      <c r="K10">
        <v>0.122</v>
      </c>
      <c r="L10">
        <v>0.11700000000000001</v>
      </c>
      <c r="M10">
        <v>5.2999999999999999E-2</v>
      </c>
      <c r="N10" t="s">
        <v>16</v>
      </c>
    </row>
    <row r="11" spans="1:14">
      <c r="B11">
        <v>4.2999999999999997E-2</v>
      </c>
      <c r="C11">
        <v>0.04</v>
      </c>
      <c r="D11">
        <v>6.3E-2</v>
      </c>
      <c r="E11">
        <v>4.9000000000000002E-2</v>
      </c>
      <c r="F11">
        <v>6.2E-2</v>
      </c>
      <c r="G11">
        <v>4.8000000000000001E-2</v>
      </c>
      <c r="H11">
        <v>4.8000000000000001E-2</v>
      </c>
      <c r="I11">
        <v>7.6999999999999999E-2</v>
      </c>
      <c r="J11">
        <v>7.4999999999999997E-2</v>
      </c>
      <c r="K11">
        <v>8.2000000000000003E-2</v>
      </c>
      <c r="L11">
        <v>7.0000000000000007E-2</v>
      </c>
      <c r="M11">
        <v>0.04</v>
      </c>
      <c r="N11" t="s">
        <v>17</v>
      </c>
    </row>
    <row r="12" spans="1:14">
      <c r="A12" t="s">
        <v>22</v>
      </c>
      <c r="B12">
        <v>4.8000000000000001E-2</v>
      </c>
      <c r="C12">
        <v>0.09</v>
      </c>
      <c r="D12">
        <v>0.10199999999999999</v>
      </c>
      <c r="E12">
        <v>0.126</v>
      </c>
      <c r="F12">
        <v>0.108</v>
      </c>
      <c r="G12">
        <v>0.111</v>
      </c>
      <c r="H12">
        <v>0.111</v>
      </c>
      <c r="I12">
        <v>0.223</v>
      </c>
      <c r="J12">
        <v>0.14000000000000001</v>
      </c>
      <c r="K12">
        <v>0.122</v>
      </c>
      <c r="L12">
        <v>0.17399999999999999</v>
      </c>
      <c r="M12">
        <v>6.5000000000000002E-2</v>
      </c>
      <c r="N12" t="s">
        <v>16</v>
      </c>
    </row>
    <row r="13" spans="1:14">
      <c r="B13">
        <v>4.3999999999999997E-2</v>
      </c>
      <c r="C13">
        <v>4.8000000000000001E-2</v>
      </c>
      <c r="D13">
        <v>5.8999999999999997E-2</v>
      </c>
      <c r="E13">
        <v>7.4999999999999997E-2</v>
      </c>
      <c r="F13">
        <v>7.4999999999999997E-2</v>
      </c>
      <c r="G13">
        <v>0.08</v>
      </c>
      <c r="H13">
        <v>6.9000000000000006E-2</v>
      </c>
      <c r="I13">
        <v>0.19</v>
      </c>
      <c r="J13">
        <v>0.10299999999999999</v>
      </c>
      <c r="K13">
        <v>8.4000000000000005E-2</v>
      </c>
      <c r="L13">
        <v>0.126</v>
      </c>
      <c r="M13">
        <v>4.7E-2</v>
      </c>
      <c r="N13" t="s">
        <v>17</v>
      </c>
    </row>
    <row r="14" spans="1:14">
      <c r="A14" t="s">
        <v>23</v>
      </c>
      <c r="B14">
        <v>5.0999999999999997E-2</v>
      </c>
      <c r="C14">
        <v>6.8000000000000005E-2</v>
      </c>
      <c r="D14">
        <v>9.2999999999999999E-2</v>
      </c>
      <c r="E14">
        <v>0.14299999999999999</v>
      </c>
      <c r="F14">
        <v>0.19900000000000001</v>
      </c>
      <c r="G14">
        <v>0.12</v>
      </c>
      <c r="H14">
        <v>0.13800000000000001</v>
      </c>
      <c r="I14">
        <v>0.14599999999999999</v>
      </c>
      <c r="J14">
        <v>0.159</v>
      </c>
      <c r="K14">
        <v>0.185</v>
      </c>
      <c r="L14">
        <v>0.17</v>
      </c>
      <c r="M14">
        <v>4.8000000000000001E-2</v>
      </c>
      <c r="N14" t="s">
        <v>16</v>
      </c>
    </row>
    <row r="15" spans="1:14">
      <c r="B15">
        <v>4.2999999999999997E-2</v>
      </c>
      <c r="C15">
        <v>4.2000000000000003E-2</v>
      </c>
      <c r="D15">
        <v>4.7E-2</v>
      </c>
      <c r="E15">
        <v>9.4E-2</v>
      </c>
      <c r="F15">
        <v>0.15</v>
      </c>
      <c r="G15">
        <v>7.6999999999999999E-2</v>
      </c>
      <c r="H15">
        <v>0.10199999999999999</v>
      </c>
      <c r="I15">
        <v>0.107</v>
      </c>
      <c r="J15">
        <v>0.121</v>
      </c>
      <c r="K15">
        <v>0.14000000000000001</v>
      </c>
      <c r="L15">
        <v>0.11700000000000001</v>
      </c>
      <c r="M15">
        <v>3.7999999999999999E-2</v>
      </c>
      <c r="N15" t="s">
        <v>17</v>
      </c>
    </row>
    <row r="16" spans="1:14">
      <c r="A16" t="s">
        <v>24</v>
      </c>
      <c r="B16">
        <v>5.0999999999999997E-2</v>
      </c>
      <c r="C16">
        <v>5.0999999999999997E-2</v>
      </c>
      <c r="D16">
        <v>4.8000000000000001E-2</v>
      </c>
      <c r="E16">
        <v>4.9000000000000002E-2</v>
      </c>
      <c r="F16">
        <v>0.06</v>
      </c>
      <c r="G16">
        <v>6.5000000000000002E-2</v>
      </c>
      <c r="H16">
        <v>0.157</v>
      </c>
      <c r="I16">
        <v>6.3E-2</v>
      </c>
      <c r="J16">
        <v>5.5E-2</v>
      </c>
      <c r="K16">
        <v>8.3000000000000004E-2</v>
      </c>
      <c r="L16">
        <v>6.3E-2</v>
      </c>
      <c r="M16">
        <v>4.8000000000000001E-2</v>
      </c>
      <c r="N16" t="s">
        <v>16</v>
      </c>
    </row>
    <row r="17" spans="2:14">
      <c r="B17">
        <v>4.2999999999999997E-2</v>
      </c>
      <c r="C17">
        <v>4.3999999999999997E-2</v>
      </c>
      <c r="D17">
        <v>4.4999999999999998E-2</v>
      </c>
      <c r="E17">
        <v>4.4999999999999998E-2</v>
      </c>
      <c r="F17">
        <v>4.2000000000000003E-2</v>
      </c>
      <c r="G17">
        <v>4.4999999999999998E-2</v>
      </c>
      <c r="H17">
        <v>0.104</v>
      </c>
      <c r="I17">
        <v>4.4999999999999998E-2</v>
      </c>
      <c r="J17">
        <v>0.04</v>
      </c>
      <c r="K17">
        <v>5.7000000000000002E-2</v>
      </c>
      <c r="L17">
        <v>0.04</v>
      </c>
      <c r="M17">
        <v>3.9E-2</v>
      </c>
      <c r="N17" t="s">
        <v>17</v>
      </c>
    </row>
    <row r="19" spans="2:14">
      <c r="J19" s="2" t="s">
        <v>25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63B2-03EB-2543-88BF-93F8D044AAF3}">
  <dimension ref="A1:M28"/>
  <sheetViews>
    <sheetView zoomScale="75" zoomScaleNormal="100" workbookViewId="0">
      <selection activeCell="L32" sqref="L32"/>
    </sheetView>
  </sheetViews>
  <sheetFormatPr baseColWidth="10" defaultRowHeight="20"/>
  <cols>
    <col min="2" max="2" width="12" bestFit="1" customWidth="1"/>
  </cols>
  <sheetData>
    <row r="1" spans="1:13">
      <c r="A1" t="s">
        <v>26</v>
      </c>
    </row>
    <row r="2" spans="1:13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0</v>
      </c>
      <c r="B3">
        <v>1481</v>
      </c>
      <c r="C3">
        <v>9424</v>
      </c>
      <c r="D3">
        <v>1794</v>
      </c>
      <c r="E3">
        <v>2203</v>
      </c>
      <c r="F3">
        <v>2317</v>
      </c>
      <c r="G3">
        <v>2920</v>
      </c>
      <c r="H3">
        <v>3371</v>
      </c>
      <c r="I3">
        <v>1875</v>
      </c>
      <c r="J3">
        <v>981</v>
      </c>
      <c r="K3">
        <v>1825</v>
      </c>
      <c r="L3">
        <v>2548</v>
      </c>
      <c r="M3">
        <v>4138</v>
      </c>
    </row>
    <row r="4" spans="1:13">
      <c r="A4" t="s">
        <v>1</v>
      </c>
      <c r="B4">
        <v>1895</v>
      </c>
      <c r="C4">
        <v>4866</v>
      </c>
      <c r="D4">
        <v>1848</v>
      </c>
      <c r="E4">
        <v>3767</v>
      </c>
      <c r="F4">
        <v>2799</v>
      </c>
      <c r="G4">
        <v>2825</v>
      </c>
      <c r="H4">
        <v>3199</v>
      </c>
      <c r="I4">
        <v>2189</v>
      </c>
      <c r="J4">
        <v>1420</v>
      </c>
      <c r="K4">
        <v>1045</v>
      </c>
      <c r="L4">
        <v>2044</v>
      </c>
      <c r="M4">
        <v>2960</v>
      </c>
    </row>
    <row r="5" spans="1:13">
      <c r="A5" t="s">
        <v>2</v>
      </c>
      <c r="B5">
        <v>1708</v>
      </c>
      <c r="C5">
        <v>6406</v>
      </c>
      <c r="D5">
        <v>2161</v>
      </c>
      <c r="E5">
        <v>2918</v>
      </c>
      <c r="F5">
        <v>3074</v>
      </c>
      <c r="G5">
        <v>3095</v>
      </c>
      <c r="H5">
        <v>2205</v>
      </c>
      <c r="K5">
        <v>1357</v>
      </c>
      <c r="L5">
        <v>2403</v>
      </c>
      <c r="M5">
        <v>3102</v>
      </c>
    </row>
    <row r="7" spans="1:13">
      <c r="A7" t="s">
        <v>27</v>
      </c>
    </row>
    <row r="8" spans="1:13"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</row>
    <row r="9" spans="1:13">
      <c r="A9" t="s">
        <v>0</v>
      </c>
      <c r="B9" s="1">
        <v>7.5999999999999998E-2</v>
      </c>
      <c r="C9" s="1">
        <v>9.8000000000000004E-2</v>
      </c>
      <c r="D9" s="1">
        <v>8.5999999999999993E-2</v>
      </c>
      <c r="E9" s="1">
        <v>0.09</v>
      </c>
      <c r="F9" s="1">
        <v>8.6999999999999994E-2</v>
      </c>
      <c r="G9" s="1">
        <v>0.09</v>
      </c>
      <c r="H9" s="1">
        <v>9.8000000000000004E-2</v>
      </c>
      <c r="I9" s="1">
        <v>7.8E-2</v>
      </c>
      <c r="J9" s="1">
        <v>6.9000000000000006E-2</v>
      </c>
      <c r="K9" s="1">
        <v>7.8E-2</v>
      </c>
      <c r="L9" s="1">
        <v>8.2000000000000003E-2</v>
      </c>
      <c r="M9" s="1">
        <v>0.1</v>
      </c>
    </row>
    <row r="10" spans="1:13">
      <c r="A10" t="s">
        <v>1</v>
      </c>
      <c r="B10" s="1">
        <v>7.5999999999999998E-2</v>
      </c>
      <c r="C10" s="1">
        <v>8.3000000000000004E-2</v>
      </c>
      <c r="D10" s="1">
        <v>8.5999999999999993E-2</v>
      </c>
      <c r="E10" s="1">
        <v>0.107</v>
      </c>
      <c r="F10" s="1">
        <v>0.1</v>
      </c>
      <c r="G10" s="1">
        <v>9.0999999999999998E-2</v>
      </c>
      <c r="H10" s="1">
        <v>0.109</v>
      </c>
      <c r="I10" s="1">
        <v>8.7999999999999995E-2</v>
      </c>
      <c r="J10" s="2">
        <v>0.216</v>
      </c>
      <c r="K10" s="1">
        <v>7.4999999999999997E-2</v>
      </c>
      <c r="L10" s="1">
        <v>0.08</v>
      </c>
      <c r="M10" s="1">
        <v>8.6999999999999994E-2</v>
      </c>
    </row>
    <row r="11" spans="1:13">
      <c r="A11" t="s">
        <v>2</v>
      </c>
      <c r="B11" s="1">
        <v>7.8E-2</v>
      </c>
      <c r="C11" s="1">
        <v>8.6999999999999994E-2</v>
      </c>
      <c r="D11" s="1">
        <v>8.7999999999999995E-2</v>
      </c>
      <c r="E11" s="1">
        <v>9.7000000000000003E-2</v>
      </c>
      <c r="F11" s="1">
        <v>0.10100000000000001</v>
      </c>
      <c r="G11" s="1">
        <v>9.9000000000000005E-2</v>
      </c>
      <c r="H11" s="1">
        <v>8.2000000000000003E-2</v>
      </c>
      <c r="K11" s="1">
        <v>6.6000000000000003E-2</v>
      </c>
      <c r="L11" s="1">
        <v>9.0999999999999998E-2</v>
      </c>
      <c r="M11" s="1">
        <v>9.6000000000000002E-2</v>
      </c>
    </row>
    <row r="13" spans="1:13">
      <c r="A13" t="s">
        <v>28</v>
      </c>
    </row>
    <row r="14" spans="1:13"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</row>
    <row r="15" spans="1:13">
      <c r="A15" t="s">
        <v>0</v>
      </c>
      <c r="B15">
        <f>B3/B9</f>
        <v>19486.84210526316</v>
      </c>
      <c r="C15">
        <f>C3/C9</f>
        <v>96163.265306122441</v>
      </c>
      <c r="D15">
        <f>D3/D9</f>
        <v>20860.465116279072</v>
      </c>
      <c r="E15">
        <f>E3/E9</f>
        <v>24477.777777777777</v>
      </c>
      <c r="F15">
        <f>F3/F9</f>
        <v>26632.183908045979</v>
      </c>
      <c r="G15">
        <f>G3/G9</f>
        <v>32444.444444444445</v>
      </c>
      <c r="H15">
        <f>H3/H9</f>
        <v>34397.959183673469</v>
      </c>
      <c r="I15">
        <f>I3/I9</f>
        <v>24038.461538461539</v>
      </c>
      <c r="J15">
        <f>J3/J9</f>
        <v>14217.391304347824</v>
      </c>
      <c r="K15">
        <f>K3/K9</f>
        <v>23397.435897435898</v>
      </c>
      <c r="L15">
        <f>L3/L9</f>
        <v>31073.170731707316</v>
      </c>
      <c r="M15">
        <f>M3/M9</f>
        <v>41380</v>
      </c>
    </row>
    <row r="16" spans="1:13">
      <c r="A16" t="s">
        <v>1</v>
      </c>
      <c r="B16">
        <f>B4/B10</f>
        <v>24934.21052631579</v>
      </c>
      <c r="C16">
        <f>C4/C10</f>
        <v>58626.506024096379</v>
      </c>
      <c r="D16">
        <f>D4/D10</f>
        <v>21488.372093023256</v>
      </c>
      <c r="E16">
        <f>E4/E10</f>
        <v>35205.607476635516</v>
      </c>
      <c r="F16">
        <f>F4/F10</f>
        <v>27990</v>
      </c>
      <c r="G16">
        <f>G4/G10</f>
        <v>31043.956043956045</v>
      </c>
      <c r="H16">
        <f>H4/H10</f>
        <v>29348.623853211011</v>
      </c>
      <c r="I16">
        <f>I4/I10</f>
        <v>24875</v>
      </c>
      <c r="J16">
        <f>J4/J10</f>
        <v>6574.0740740740739</v>
      </c>
      <c r="K16">
        <f>K4/K10</f>
        <v>13933.333333333334</v>
      </c>
      <c r="L16">
        <f>L4/L10</f>
        <v>25550</v>
      </c>
      <c r="M16">
        <f>M4/M10</f>
        <v>34022.988505747126</v>
      </c>
    </row>
    <row r="17" spans="1:13">
      <c r="A17" t="s">
        <v>2</v>
      </c>
      <c r="B17">
        <f>B5/B11</f>
        <v>21897.435897435898</v>
      </c>
      <c r="C17">
        <f>C5/C11</f>
        <v>73632.183908045976</v>
      </c>
      <c r="D17">
        <f>D5/D11</f>
        <v>24556.818181818184</v>
      </c>
      <c r="E17">
        <f>E5/E11</f>
        <v>30082.474226804123</v>
      </c>
      <c r="F17">
        <f>F5/F11</f>
        <v>30435.643564356433</v>
      </c>
      <c r="G17">
        <f>G5/G11</f>
        <v>31262.626262626261</v>
      </c>
      <c r="H17">
        <f>H5/H11</f>
        <v>26890.243902439022</v>
      </c>
      <c r="K17">
        <f>K5/K11</f>
        <v>20560.60606060606</v>
      </c>
      <c r="L17">
        <f>L5/L11</f>
        <v>26406.593406593409</v>
      </c>
      <c r="M17">
        <f>M5/M11</f>
        <v>32312.5</v>
      </c>
    </row>
    <row r="18" spans="1:13">
      <c r="A18" t="s">
        <v>30</v>
      </c>
      <c r="B18">
        <f>AVERAGE(B15:B17)</f>
        <v>22106.162843004946</v>
      </c>
      <c r="C18">
        <f t="shared" ref="C18:M18" si="0">AVERAGE(C15:C17)</f>
        <v>76140.651746088275</v>
      </c>
      <c r="D18">
        <f t="shared" si="0"/>
        <v>22301.885130373503</v>
      </c>
      <c r="E18">
        <f t="shared" si="0"/>
        <v>29921.95316040581</v>
      </c>
      <c r="F18">
        <f t="shared" si="0"/>
        <v>28352.609157467468</v>
      </c>
      <c r="G18">
        <f t="shared" si="0"/>
        <v>31583.67558367558</v>
      </c>
      <c r="H18">
        <f t="shared" si="0"/>
        <v>30212.275646441165</v>
      </c>
      <c r="I18">
        <f t="shared" si="0"/>
        <v>24456.73076923077</v>
      </c>
      <c r="J18">
        <f t="shared" si="0"/>
        <v>10395.732689210949</v>
      </c>
      <c r="K18">
        <f t="shared" si="0"/>
        <v>19297.125097125099</v>
      </c>
      <c r="L18">
        <f t="shared" si="0"/>
        <v>27676.588046100242</v>
      </c>
      <c r="M18">
        <f t="shared" si="0"/>
        <v>35905.162835249044</v>
      </c>
    </row>
    <row r="22" spans="1:13">
      <c r="A22" t="s">
        <v>29</v>
      </c>
    </row>
    <row r="23" spans="1:13"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8</v>
      </c>
      <c r="H23" t="s">
        <v>9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</row>
    <row r="24" spans="1:13">
      <c r="A24" t="s">
        <v>0</v>
      </c>
      <c r="B24">
        <f>(B15-22106.1628)/(76140.6517 - 22106.1628) *100</f>
        <v>-4.8474978630487939</v>
      </c>
      <c r="C24">
        <f t="shared" ref="C24:M24" si="1">(C15-22106.1628)/(76140.6517 - 22106.1628) *100</f>
        <v>137.05524751641062</v>
      </c>
      <c r="D24">
        <f t="shared" si="1"/>
        <v>-2.3053751577558192</v>
      </c>
      <c r="E24">
        <f t="shared" si="1"/>
        <v>4.3890763585584294</v>
      </c>
      <c r="F24">
        <f t="shared" si="1"/>
        <v>8.3761708497366403</v>
      </c>
      <c r="G24">
        <f t="shared" si="1"/>
        <v>19.132746242084743</v>
      </c>
      <c r="H24">
        <f t="shared" si="1"/>
        <v>22.748057090762025</v>
      </c>
      <c r="I24">
        <f t="shared" si="1"/>
        <v>3.5760470355102045</v>
      </c>
      <c r="J24">
        <f t="shared" si="1"/>
        <v>-14.59951163830139</v>
      </c>
      <c r="K24">
        <f t="shared" si="1"/>
        <v>2.3897202022686295</v>
      </c>
      <c r="L24">
        <f t="shared" si="1"/>
        <v>16.594971312308125</v>
      </c>
      <c r="M24">
        <f t="shared" si="1"/>
        <v>35.669509589827911</v>
      </c>
    </row>
    <row r="25" spans="1:13">
      <c r="A25" t="s">
        <v>1</v>
      </c>
      <c r="B25">
        <f t="shared" ref="B25:M25" si="2">(B16-22106.1628)/(76140.6517 - 22106.1628) *100</f>
        <v>5.2337826893293551</v>
      </c>
      <c r="C25">
        <f t="shared" si="2"/>
        <v>67.587098476462842</v>
      </c>
      <c r="D25">
        <f t="shared" si="2"/>
        <v>-1.1433266411015177</v>
      </c>
      <c r="E25">
        <f t="shared" si="2"/>
        <v>24.242747443911728</v>
      </c>
      <c r="F25">
        <f t="shared" si="2"/>
        <v>10.889040166344575</v>
      </c>
      <c r="G25">
        <f t="shared" si="2"/>
        <v>16.540904570221716</v>
      </c>
      <c r="H25">
        <f t="shared" si="2"/>
        <v>13.403404382364783</v>
      </c>
      <c r="I25">
        <f t="shared" si="2"/>
        <v>5.1242035528904601</v>
      </c>
      <c r="J25">
        <f t="shared" si="2"/>
        <v>-28.744768465693625</v>
      </c>
      <c r="K25">
        <f t="shared" si="2"/>
        <v>-15.125209163710002</v>
      </c>
      <c r="L25">
        <f t="shared" si="2"/>
        <v>6.3734057082938405</v>
      </c>
      <c r="M25">
        <f t="shared" si="2"/>
        <v>22.054110158793648</v>
      </c>
    </row>
    <row r="26" spans="1:13">
      <c r="A26" t="s">
        <v>2</v>
      </c>
      <c r="B26">
        <f t="shared" ref="B26:M26" si="3">(B17-22106.1628)/(76140.6517 - 22106.1628) *100</f>
        <v>-0.38628458751665895</v>
      </c>
      <c r="C26">
        <f t="shared" si="3"/>
        <v>95.357654263008996</v>
      </c>
      <c r="D26">
        <f t="shared" si="3"/>
        <v>4.5353540520269178</v>
      </c>
      <c r="E26">
        <f t="shared" si="3"/>
        <v>14.76151915041825</v>
      </c>
      <c r="F26">
        <f t="shared" si="3"/>
        <v>15.415118998851923</v>
      </c>
      <c r="G26">
        <f t="shared" si="3"/>
        <v>16.945590953162995</v>
      </c>
      <c r="H26">
        <f t="shared" si="3"/>
        <v>8.8537547033946762</v>
      </c>
      <c r="K26">
        <f t="shared" si="3"/>
        <v>-2.8603152742950031</v>
      </c>
      <c r="L26">
        <f t="shared" si="3"/>
        <v>7.9586773080283741</v>
      </c>
      <c r="M26">
        <f t="shared" si="3"/>
        <v>18.88856063557585</v>
      </c>
    </row>
    <row r="27" spans="1:13">
      <c r="A27" t="s">
        <v>30</v>
      </c>
      <c r="B27">
        <f>AVERAGE(B24:B26)</f>
        <v>7.958796740166936E-8</v>
      </c>
      <c r="C27">
        <f t="shared" ref="C27:M27" si="4">AVERAGE(C24:C26)</f>
        <v>100.00000008529416</v>
      </c>
      <c r="D27">
        <f t="shared" si="4"/>
        <v>0.3622174177231936</v>
      </c>
      <c r="E27">
        <f t="shared" si="4"/>
        <v>14.464447650962803</v>
      </c>
      <c r="F27">
        <f t="shared" si="4"/>
        <v>11.560110004977714</v>
      </c>
      <c r="G27">
        <f t="shared" si="4"/>
        <v>17.539747255156485</v>
      </c>
      <c r="H27">
        <f t="shared" si="4"/>
        <v>15.001738725507161</v>
      </c>
      <c r="I27">
        <f t="shared" si="4"/>
        <v>4.3501252942003319</v>
      </c>
      <c r="J27">
        <f t="shared" si="4"/>
        <v>-21.672140051997509</v>
      </c>
      <c r="K27">
        <f t="shared" si="4"/>
        <v>-5.1986014119121249</v>
      </c>
      <c r="L27">
        <f t="shared" si="4"/>
        <v>10.309018109543446</v>
      </c>
      <c r="M27">
        <f t="shared" si="4"/>
        <v>25.537393461399137</v>
      </c>
    </row>
    <row r="28" spans="1:13">
      <c r="A28" t="s">
        <v>31</v>
      </c>
      <c r="B28">
        <f>STDEV(B24:B26)</f>
        <v>5.0517290383560329</v>
      </c>
      <c r="C28">
        <f t="shared" ref="C28:M28" si="5">STDEV(C24:C26)</f>
        <v>34.965975802333361</v>
      </c>
      <c r="D28">
        <f t="shared" si="5"/>
        <v>3.6604495919477538</v>
      </c>
      <c r="E28">
        <f t="shared" si="5"/>
        <v>9.9301688051205783</v>
      </c>
      <c r="F28">
        <f t="shared" si="5"/>
        <v>3.5671345373738959</v>
      </c>
      <c r="G28">
        <f t="shared" si="5"/>
        <v>1.3943375116521701</v>
      </c>
      <c r="H28">
        <f t="shared" si="5"/>
        <v>7.083707659993582</v>
      </c>
      <c r="I28">
        <f t="shared" si="5"/>
        <v>1.0947119717777329</v>
      </c>
      <c r="J28">
        <f t="shared" si="5"/>
        <v>10.002207024274353</v>
      </c>
      <c r="K28">
        <f t="shared" si="5"/>
        <v>8.9885412731896857</v>
      </c>
      <c r="L28">
        <f t="shared" si="5"/>
        <v>5.5011978024555539</v>
      </c>
      <c r="M28">
        <f t="shared" si="5"/>
        <v>8.9162777478026509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BBE7-D2EB-0847-A88B-C95969A9985C}">
  <dimension ref="A1:M37"/>
  <sheetViews>
    <sheetView tabSelected="1" topLeftCell="F1" zoomScaleNormal="100" workbookViewId="0">
      <selection activeCell="E36" sqref="E36:F36"/>
    </sheetView>
  </sheetViews>
  <sheetFormatPr baseColWidth="10" defaultRowHeight="20"/>
  <cols>
    <col min="2" max="2" width="12" bestFit="1" customWidth="1"/>
  </cols>
  <sheetData>
    <row r="1" spans="1:13">
      <c r="A1" t="s">
        <v>26</v>
      </c>
    </row>
    <row r="2" spans="1:13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0</v>
      </c>
      <c r="B3">
        <v>1481</v>
      </c>
      <c r="C3">
        <v>9424</v>
      </c>
      <c r="D3">
        <v>1794</v>
      </c>
      <c r="E3">
        <v>2203</v>
      </c>
      <c r="F3">
        <v>2317</v>
      </c>
      <c r="G3">
        <v>2920</v>
      </c>
      <c r="H3">
        <v>3371</v>
      </c>
      <c r="I3">
        <v>1875</v>
      </c>
      <c r="J3">
        <v>981</v>
      </c>
      <c r="K3">
        <v>1825</v>
      </c>
      <c r="L3">
        <v>2548</v>
      </c>
      <c r="M3">
        <v>4138</v>
      </c>
    </row>
    <row r="4" spans="1:13">
      <c r="A4" t="s">
        <v>1</v>
      </c>
      <c r="B4">
        <v>1895</v>
      </c>
      <c r="C4">
        <v>4866</v>
      </c>
      <c r="D4">
        <v>1848</v>
      </c>
      <c r="E4">
        <v>3767</v>
      </c>
      <c r="F4">
        <v>2799</v>
      </c>
      <c r="G4">
        <v>2825</v>
      </c>
      <c r="H4">
        <v>3199</v>
      </c>
      <c r="I4">
        <v>2189</v>
      </c>
      <c r="J4">
        <v>1420</v>
      </c>
      <c r="K4">
        <v>1045</v>
      </c>
      <c r="L4">
        <v>2044</v>
      </c>
      <c r="M4">
        <v>2960</v>
      </c>
    </row>
    <row r="5" spans="1:13">
      <c r="A5" t="s">
        <v>2</v>
      </c>
      <c r="B5">
        <v>1708</v>
      </c>
      <c r="C5">
        <v>6406</v>
      </c>
      <c r="D5">
        <v>2161</v>
      </c>
      <c r="E5">
        <v>2918</v>
      </c>
      <c r="F5">
        <v>3074</v>
      </c>
      <c r="G5">
        <v>3095</v>
      </c>
      <c r="H5">
        <v>2205</v>
      </c>
      <c r="K5">
        <v>1357</v>
      </c>
      <c r="L5">
        <v>2403</v>
      </c>
      <c r="M5">
        <v>3102</v>
      </c>
    </row>
    <row r="7" spans="1:13">
      <c r="A7" t="s">
        <v>27</v>
      </c>
    </row>
    <row r="8" spans="1:13"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</row>
    <row r="9" spans="1:13">
      <c r="A9" t="s">
        <v>0</v>
      </c>
      <c r="B9" s="3">
        <v>7.5999999999999998E-2</v>
      </c>
      <c r="C9" s="3">
        <v>9.8000000000000004E-2</v>
      </c>
      <c r="D9" s="3">
        <v>8.5999999999999993E-2</v>
      </c>
      <c r="E9" s="3">
        <v>0.09</v>
      </c>
      <c r="F9" s="3">
        <v>8.6999999999999994E-2</v>
      </c>
      <c r="G9" s="3">
        <v>0.09</v>
      </c>
      <c r="H9" s="3">
        <v>9.8000000000000004E-2</v>
      </c>
      <c r="I9" s="3">
        <v>7.8E-2</v>
      </c>
      <c r="J9" s="3">
        <v>6.9000000000000006E-2</v>
      </c>
      <c r="K9" s="3">
        <v>7.8E-2</v>
      </c>
      <c r="L9" s="3">
        <v>8.2000000000000003E-2</v>
      </c>
      <c r="M9" s="3">
        <v>0.1</v>
      </c>
    </row>
    <row r="10" spans="1:13">
      <c r="A10" t="s">
        <v>1</v>
      </c>
      <c r="B10" s="3">
        <v>7.5999999999999998E-2</v>
      </c>
      <c r="C10" s="3">
        <v>8.3000000000000004E-2</v>
      </c>
      <c r="D10" s="3">
        <v>8.5999999999999993E-2</v>
      </c>
      <c r="E10" s="3">
        <v>0.107</v>
      </c>
      <c r="F10" s="3">
        <v>0.1</v>
      </c>
      <c r="G10" s="3">
        <v>9.0999999999999998E-2</v>
      </c>
      <c r="H10" s="3">
        <v>0.109</v>
      </c>
      <c r="I10" s="3">
        <v>8.7999999999999995E-2</v>
      </c>
      <c r="J10" s="1">
        <v>0.216</v>
      </c>
      <c r="K10" s="3">
        <v>7.4999999999999997E-2</v>
      </c>
      <c r="L10" s="3">
        <v>0.08</v>
      </c>
      <c r="M10" s="3">
        <v>8.6999999999999994E-2</v>
      </c>
    </row>
    <row r="11" spans="1:13">
      <c r="A11" t="s">
        <v>2</v>
      </c>
      <c r="B11" s="3">
        <v>7.8E-2</v>
      </c>
      <c r="C11" s="3">
        <v>8.6999999999999994E-2</v>
      </c>
      <c r="D11" s="3">
        <v>8.7999999999999995E-2</v>
      </c>
      <c r="E11" s="3">
        <v>9.7000000000000003E-2</v>
      </c>
      <c r="F11" s="3">
        <v>0.10100000000000001</v>
      </c>
      <c r="G11" s="3">
        <v>9.9000000000000005E-2</v>
      </c>
      <c r="H11" s="3">
        <v>8.2000000000000003E-2</v>
      </c>
      <c r="I11" s="3"/>
      <c r="J11" s="3"/>
      <c r="K11" s="3">
        <v>6.6000000000000003E-2</v>
      </c>
      <c r="L11" s="3">
        <v>9.0999999999999998E-2</v>
      </c>
      <c r="M11" s="3">
        <v>9.6000000000000002E-2</v>
      </c>
    </row>
    <row r="13" spans="1:13">
      <c r="A13" t="s">
        <v>27</v>
      </c>
    </row>
    <row r="14" spans="1:13"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</row>
    <row r="15" spans="1:13">
      <c r="A15" t="s">
        <v>0</v>
      </c>
      <c r="B15" s="3">
        <f>B9-0.05</f>
        <v>2.5999999999999995E-2</v>
      </c>
      <c r="C15" s="3">
        <f t="shared" ref="C15:M15" si="0">C9-0.05</f>
        <v>4.8000000000000001E-2</v>
      </c>
      <c r="D15" s="3">
        <f t="shared" si="0"/>
        <v>3.599999999999999E-2</v>
      </c>
      <c r="E15" s="3">
        <f t="shared" si="0"/>
        <v>3.9999999999999994E-2</v>
      </c>
      <c r="F15" s="3">
        <f t="shared" si="0"/>
        <v>3.6999999999999991E-2</v>
      </c>
      <c r="G15" s="3">
        <f t="shared" si="0"/>
        <v>3.9999999999999994E-2</v>
      </c>
      <c r="H15" s="3">
        <f t="shared" si="0"/>
        <v>4.8000000000000001E-2</v>
      </c>
      <c r="I15" s="3">
        <f t="shared" si="0"/>
        <v>2.7999999999999997E-2</v>
      </c>
      <c r="J15" s="3">
        <f t="shared" si="0"/>
        <v>1.9000000000000003E-2</v>
      </c>
      <c r="K15" s="3">
        <f t="shared" si="0"/>
        <v>2.7999999999999997E-2</v>
      </c>
      <c r="L15" s="3">
        <f t="shared" si="0"/>
        <v>3.2000000000000001E-2</v>
      </c>
      <c r="M15" s="3">
        <f t="shared" si="0"/>
        <v>0.05</v>
      </c>
    </row>
    <row r="16" spans="1:13">
      <c r="A16" t="s">
        <v>1</v>
      </c>
      <c r="B16" s="3">
        <f t="shared" ref="B16:M17" si="1">B10-0.05</f>
        <v>2.5999999999999995E-2</v>
      </c>
      <c r="C16" s="3">
        <f t="shared" si="1"/>
        <v>3.3000000000000002E-2</v>
      </c>
      <c r="D16" s="3">
        <f t="shared" si="1"/>
        <v>3.599999999999999E-2</v>
      </c>
      <c r="E16" s="3">
        <f t="shared" si="1"/>
        <v>5.6999999999999995E-2</v>
      </c>
      <c r="F16" s="3">
        <f t="shared" si="1"/>
        <v>0.05</v>
      </c>
      <c r="G16" s="3">
        <f t="shared" si="1"/>
        <v>4.0999999999999995E-2</v>
      </c>
      <c r="H16" s="3">
        <f t="shared" si="1"/>
        <v>5.8999999999999997E-2</v>
      </c>
      <c r="I16" s="3">
        <f t="shared" si="1"/>
        <v>3.7999999999999992E-2</v>
      </c>
      <c r="J16" s="3">
        <f t="shared" si="1"/>
        <v>0.16599999999999998</v>
      </c>
      <c r="K16" s="3">
        <f t="shared" si="1"/>
        <v>2.4999999999999994E-2</v>
      </c>
      <c r="L16" s="3">
        <f t="shared" si="1"/>
        <v>0.03</v>
      </c>
      <c r="M16" s="3">
        <f t="shared" si="1"/>
        <v>3.6999999999999991E-2</v>
      </c>
    </row>
    <row r="17" spans="1:13">
      <c r="A17" t="s">
        <v>2</v>
      </c>
      <c r="B17" s="3">
        <f t="shared" si="1"/>
        <v>2.7999999999999997E-2</v>
      </c>
      <c r="C17" s="3">
        <f t="shared" si="1"/>
        <v>3.6999999999999991E-2</v>
      </c>
      <c r="D17" s="3">
        <f t="shared" si="1"/>
        <v>3.7999999999999992E-2</v>
      </c>
      <c r="E17" s="3">
        <f t="shared" si="1"/>
        <v>4.7E-2</v>
      </c>
      <c r="F17" s="3">
        <f t="shared" si="1"/>
        <v>5.1000000000000004E-2</v>
      </c>
      <c r="G17" s="3">
        <f t="shared" si="1"/>
        <v>4.9000000000000002E-2</v>
      </c>
      <c r="H17" s="3">
        <f t="shared" si="1"/>
        <v>3.2000000000000001E-2</v>
      </c>
      <c r="I17" s="3"/>
      <c r="J17" s="3"/>
      <c r="K17" s="3">
        <f t="shared" si="1"/>
        <v>1.6E-2</v>
      </c>
      <c r="L17" s="3">
        <f t="shared" si="1"/>
        <v>4.0999999999999995E-2</v>
      </c>
      <c r="M17" s="3">
        <f t="shared" si="1"/>
        <v>4.5999999999999999E-2</v>
      </c>
    </row>
    <row r="22" spans="1:13">
      <c r="A22" t="s">
        <v>28</v>
      </c>
    </row>
    <row r="23" spans="1:13"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8</v>
      </c>
      <c r="H23" t="s">
        <v>9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</row>
    <row r="24" spans="1:13">
      <c r="A24" t="s">
        <v>0</v>
      </c>
      <c r="B24">
        <f>B3/B15</f>
        <v>56961.538461538468</v>
      </c>
      <c r="C24">
        <f t="shared" ref="C24:M24" si="2">C3/C15</f>
        <v>196333.33333333334</v>
      </c>
      <c r="D24">
        <f t="shared" si="2"/>
        <v>49833.33333333335</v>
      </c>
      <c r="E24">
        <f t="shared" si="2"/>
        <v>55075.000000000007</v>
      </c>
      <c r="F24">
        <f t="shared" si="2"/>
        <v>62621.621621621634</v>
      </c>
      <c r="G24">
        <f t="shared" si="2"/>
        <v>73000.000000000015</v>
      </c>
      <c r="H24">
        <f t="shared" si="2"/>
        <v>70229.166666666672</v>
      </c>
      <c r="I24">
        <f t="shared" si="2"/>
        <v>66964.285714285725</v>
      </c>
      <c r="J24">
        <f t="shared" si="2"/>
        <v>51631.578947368413</v>
      </c>
      <c r="K24">
        <f t="shared" si="2"/>
        <v>65178.571428571435</v>
      </c>
      <c r="L24">
        <f t="shared" si="2"/>
        <v>79625</v>
      </c>
      <c r="M24">
        <f t="shared" si="2"/>
        <v>82760</v>
      </c>
    </row>
    <row r="25" spans="1:13">
      <c r="A25" t="s">
        <v>1</v>
      </c>
      <c r="B25">
        <f t="shared" ref="B25:M26" si="3">B4/B16</f>
        <v>72884.615384615405</v>
      </c>
      <c r="C25">
        <f t="shared" si="3"/>
        <v>147454.54545454544</v>
      </c>
      <c r="D25">
        <f t="shared" si="3"/>
        <v>51333.33333333335</v>
      </c>
      <c r="E25">
        <f t="shared" si="3"/>
        <v>66087.719298245618</v>
      </c>
      <c r="F25">
        <f t="shared" si="3"/>
        <v>55980</v>
      </c>
      <c r="G25">
        <f t="shared" si="3"/>
        <v>68902.43902439026</v>
      </c>
      <c r="H25">
        <f t="shared" si="3"/>
        <v>54220.338983050853</v>
      </c>
      <c r="I25">
        <f t="shared" si="3"/>
        <v>57605.263157894748</v>
      </c>
      <c r="J25">
        <f t="shared" si="3"/>
        <v>8554.2168674698805</v>
      </c>
      <c r="K25">
        <f t="shared" si="3"/>
        <v>41800.000000000007</v>
      </c>
      <c r="L25">
        <f t="shared" si="3"/>
        <v>68133.333333333343</v>
      </c>
      <c r="M25">
        <f t="shared" si="3"/>
        <v>80000.000000000015</v>
      </c>
    </row>
    <row r="26" spans="1:13">
      <c r="A26" t="s">
        <v>2</v>
      </c>
      <c r="B26">
        <f t="shared" si="3"/>
        <v>61000.000000000007</v>
      </c>
      <c r="C26">
        <f t="shared" si="3"/>
        <v>173135.13513513518</v>
      </c>
      <c r="D26">
        <f t="shared" si="3"/>
        <v>56868.421052631587</v>
      </c>
      <c r="E26">
        <f t="shared" si="3"/>
        <v>62085.106382978724</v>
      </c>
      <c r="F26">
        <f t="shared" si="3"/>
        <v>60274.509803921566</v>
      </c>
      <c r="G26">
        <f t="shared" si="3"/>
        <v>63163.265306122448</v>
      </c>
      <c r="H26">
        <f t="shared" si="3"/>
        <v>68906.25</v>
      </c>
      <c r="K26">
        <f t="shared" si="3"/>
        <v>84812.5</v>
      </c>
      <c r="L26">
        <f t="shared" si="3"/>
        <v>58609.756097560981</v>
      </c>
      <c r="M26">
        <f t="shared" si="3"/>
        <v>67434.782608695648</v>
      </c>
    </row>
    <row r="27" spans="1:13">
      <c r="A27" t="s">
        <v>30</v>
      </c>
      <c r="B27">
        <f>AVERAGE(B24:B26)</f>
        <v>63615.384615384624</v>
      </c>
      <c r="C27">
        <f t="shared" ref="C27:M27" si="4">AVERAGE(C24:C26)</f>
        <v>172307.67130767132</v>
      </c>
      <c r="D27">
        <f t="shared" si="4"/>
        <v>52678.362573099432</v>
      </c>
      <c r="E27">
        <f t="shared" si="4"/>
        <v>61082.608560408116</v>
      </c>
      <c r="F27">
        <f t="shared" si="4"/>
        <v>59625.377141847734</v>
      </c>
      <c r="G27">
        <f t="shared" si="4"/>
        <v>68355.234776837577</v>
      </c>
      <c r="H27">
        <f t="shared" si="4"/>
        <v>64451.918549905844</v>
      </c>
      <c r="I27">
        <f t="shared" si="4"/>
        <v>62284.774436090236</v>
      </c>
      <c r="J27">
        <f t="shared" si="4"/>
        <v>30092.897907419145</v>
      </c>
      <c r="K27">
        <f t="shared" si="4"/>
        <v>63930.357142857152</v>
      </c>
      <c r="L27">
        <f t="shared" si="4"/>
        <v>68789.363143631446</v>
      </c>
      <c r="M27">
        <f t="shared" si="4"/>
        <v>76731.594202898545</v>
      </c>
    </row>
    <row r="31" spans="1:13">
      <c r="A31" t="s">
        <v>29</v>
      </c>
    </row>
    <row r="32" spans="1:13">
      <c r="B32" t="s">
        <v>3</v>
      </c>
      <c r="C32" t="s">
        <v>4</v>
      </c>
      <c r="D32" t="s">
        <v>5</v>
      </c>
      <c r="E32" t="s">
        <v>6</v>
      </c>
      <c r="F32" t="s">
        <v>7</v>
      </c>
      <c r="G32" t="s">
        <v>8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</row>
    <row r="33" spans="1:13">
      <c r="A33" t="s">
        <v>0</v>
      </c>
      <c r="B33">
        <f>(B24-63615.38462)/(172307.671 - 63615.38462) *100</f>
        <v>-6.1217280269539662</v>
      </c>
      <c r="C33">
        <f t="shared" ref="C33:M33" si="5">(C24-63615.38462)/(172307.671 - 63615.38462) *100</f>
        <v>122.10429381284429</v>
      </c>
      <c r="D33">
        <f t="shared" si="5"/>
        <v>-12.679879820066626</v>
      </c>
      <c r="E33">
        <f t="shared" si="5"/>
        <v>-7.8573971570916088</v>
      </c>
      <c r="F33">
        <f t="shared" si="5"/>
        <v>-0.91429026978424166</v>
      </c>
      <c r="G33">
        <f t="shared" si="5"/>
        <v>8.6341135075495465</v>
      </c>
      <c r="H33">
        <f t="shared" si="5"/>
        <v>6.0848679027177477</v>
      </c>
      <c r="I33">
        <f t="shared" si="5"/>
        <v>3.0810844134583815</v>
      </c>
      <c r="J33">
        <f t="shared" si="5"/>
        <v>-11.025442625003674</v>
      </c>
      <c r="K33">
        <f t="shared" si="5"/>
        <v>1.4381763974550754</v>
      </c>
      <c r="L33">
        <f t="shared" si="5"/>
        <v>14.729302246921785</v>
      </c>
      <c r="M33">
        <f t="shared" si="5"/>
        <v>17.613591559817181</v>
      </c>
    </row>
    <row r="34" spans="1:13">
      <c r="A34" t="s">
        <v>1</v>
      </c>
      <c r="B34">
        <f t="shared" ref="B34:M35" si="6">(B25-63615.38462)/(172307.671 - 63615.38462) *100</f>
        <v>8.5279563742078004</v>
      </c>
      <c r="C34">
        <f t="shared" si="6"/>
        <v>77.134416458436306</v>
      </c>
      <c r="D34">
        <f t="shared" si="6"/>
        <v>-11.299837086623853</v>
      </c>
      <c r="E34">
        <f t="shared" si="6"/>
        <v>2.2746183382342986</v>
      </c>
      <c r="F34">
        <f t="shared" si="6"/>
        <v>-7.0247713745811415</v>
      </c>
      <c r="G34">
        <f t="shared" si="6"/>
        <v>4.8642406747302633</v>
      </c>
      <c r="H34">
        <f t="shared" si="6"/>
        <v>-8.6437096410899361</v>
      </c>
      <c r="I34">
        <f t="shared" si="6"/>
        <v>-5.5294829672578736</v>
      </c>
      <c r="K34">
        <f t="shared" si="6"/>
        <v>-20.070775348060156</v>
      </c>
      <c r="L34">
        <f t="shared" si="6"/>
        <v>4.1566415279352098</v>
      </c>
      <c r="M34">
        <f t="shared" si="6"/>
        <v>15.074312930282494</v>
      </c>
    </row>
    <row r="35" spans="1:13">
      <c r="A35" t="s">
        <v>2</v>
      </c>
      <c r="B35">
        <f t="shared" si="6"/>
        <v>-2.4062283599926513</v>
      </c>
      <c r="C35">
        <f t="shared" si="6"/>
        <v>100.76129057791854</v>
      </c>
      <c r="D35">
        <f t="shared" si="6"/>
        <v>-6.2073986959666065</v>
      </c>
      <c r="E35">
        <f t="shared" si="6"/>
        <v>-1.407899574097885</v>
      </c>
      <c r="F35">
        <f t="shared" si="6"/>
        <v>-3.073700008847335</v>
      </c>
      <c r="G35">
        <f t="shared" si="6"/>
        <v>-0.41596264917722936</v>
      </c>
      <c r="H35">
        <f t="shared" si="6"/>
        <v>4.8677468808619633</v>
      </c>
      <c r="K35">
        <f t="shared" si="6"/>
        <v>19.501950033411379</v>
      </c>
      <c r="L35">
        <f t="shared" si="6"/>
        <v>-4.6053208458039023</v>
      </c>
      <c r="M35">
        <f t="shared" si="6"/>
        <v>3.5139549602835864</v>
      </c>
    </row>
    <row r="36" spans="1:13">
      <c r="A36" t="s">
        <v>30</v>
      </c>
      <c r="B36">
        <f>AVERAGE(B33:B35)</f>
        <v>-4.2462723707596224E-9</v>
      </c>
      <c r="C36">
        <f t="shared" ref="C36:M36" si="7">AVERAGE(C33:C35)</f>
        <v>100.00000028306637</v>
      </c>
      <c r="D36">
        <f t="shared" si="7"/>
        <v>-10.062371867552361</v>
      </c>
      <c r="E36">
        <f t="shared" si="7"/>
        <v>-2.3302261309850651</v>
      </c>
      <c r="F36">
        <f t="shared" si="7"/>
        <v>-3.6709205510709055</v>
      </c>
      <c r="G36">
        <f t="shared" si="7"/>
        <v>4.3607971777008601</v>
      </c>
      <c r="H36">
        <f t="shared" si="7"/>
        <v>0.76963504749659162</v>
      </c>
      <c r="I36">
        <f t="shared" si="7"/>
        <v>-1.2241992768997461</v>
      </c>
      <c r="J36">
        <f t="shared" si="7"/>
        <v>-11.025442625003674</v>
      </c>
      <c r="K36">
        <f t="shared" si="7"/>
        <v>0.28978369426876682</v>
      </c>
      <c r="L36">
        <f t="shared" si="7"/>
        <v>4.7602076430176972</v>
      </c>
      <c r="M36">
        <f t="shared" si="7"/>
        <v>12.067286483461087</v>
      </c>
    </row>
    <row r="37" spans="1:13">
      <c r="A37" t="s">
        <v>31</v>
      </c>
      <c r="B37">
        <f>STDEV(B33:B35)</f>
        <v>7.6154950225450904</v>
      </c>
      <c r="C37">
        <f t="shared" ref="C37:M37" si="8">STDEV(C33:C35)</f>
        <v>22.494602452641889</v>
      </c>
      <c r="D37">
        <f t="shared" si="8"/>
        <v>3.4090677760593917</v>
      </c>
      <c r="E37">
        <f t="shared" si="8"/>
        <v>5.1285913472936802</v>
      </c>
      <c r="F37">
        <f t="shared" si="8"/>
        <v>3.098709265978393</v>
      </c>
      <c r="G37">
        <f t="shared" si="8"/>
        <v>4.5459939646533316</v>
      </c>
      <c r="H37">
        <f t="shared" si="8"/>
        <v>8.1748785657687879</v>
      </c>
      <c r="I37">
        <f t="shared" si="8"/>
        <v>6.088590584768153</v>
      </c>
      <c r="J37" t="e">
        <f t="shared" si="8"/>
        <v>#DIV/0!</v>
      </c>
      <c r="K37">
        <f t="shared" si="8"/>
        <v>19.811341521459092</v>
      </c>
      <c r="L37">
        <f t="shared" si="8"/>
        <v>9.6814323101438458</v>
      </c>
      <c r="M37">
        <f t="shared" si="8"/>
        <v>7.5154237471109573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luc</vt:lpstr>
      <vt:lpstr>β-gal</vt:lpstr>
      <vt:lpstr>result</vt:lpstr>
      <vt:lpstr>result(補正)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2024-11-05T05:08:12Z</dcterms:created>
  <dcterms:modified xsi:type="dcterms:W3CDTF">2024-11-11T07:13:01Z</dcterms:modified>
</cp:coreProperties>
</file>