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teee/univ/latex/研究/4/"/>
    </mc:Choice>
  </mc:AlternateContent>
  <xr:revisionPtr revIDLastSave="0" documentId="13_ncr:1_{12ACFDD6-C806-9243-B057-E79EAEDC4838}" xr6:coauthVersionLast="47" xr6:coauthVersionMax="47" xr10:uidLastSave="{00000000-0000-0000-0000-000000000000}"/>
  <bookViews>
    <workbookView xWindow="0" yWindow="760" windowWidth="34560" windowHeight="21580" xr2:uid="{B6AB3631-C4DE-D34B-AB45-413BD43B877A}"/>
  </bookViews>
  <sheets>
    <sheet name="Sheet1" sheetId="1" r:id="rId1"/>
    <sheet name="b-g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11" i="1"/>
  <c r="D11" i="1"/>
  <c r="E11" i="1"/>
  <c r="F11" i="1"/>
  <c r="G11" i="1"/>
  <c r="H11" i="1"/>
  <c r="B11" i="1"/>
  <c r="C10" i="1"/>
  <c r="D10" i="1"/>
  <c r="E10" i="1"/>
  <c r="F10" i="1"/>
  <c r="G10" i="1"/>
  <c r="H10" i="1"/>
  <c r="B10" i="1"/>
  <c r="B26" i="1"/>
  <c r="B28" i="1" s="1"/>
  <c r="C24" i="1"/>
  <c r="D24" i="1"/>
  <c r="E24" i="1"/>
  <c r="F24" i="1"/>
  <c r="G24" i="1"/>
  <c r="C25" i="1"/>
  <c r="D25" i="1"/>
  <c r="E25" i="1"/>
  <c r="F25" i="1"/>
  <c r="G25" i="1"/>
  <c r="G28" i="1" s="1"/>
  <c r="C26" i="1"/>
  <c r="D26" i="1"/>
  <c r="E26" i="1"/>
  <c r="F26" i="1"/>
  <c r="G26" i="1"/>
  <c r="B25" i="1"/>
  <c r="F27" i="1" l="1"/>
  <c r="E27" i="1"/>
  <c r="D28" i="1"/>
  <c r="C28" i="1"/>
  <c r="C27" i="1"/>
  <c r="B27" i="1"/>
  <c r="F28" i="1"/>
  <c r="G27" i="1"/>
  <c r="E28" i="1"/>
  <c r="D27" i="1"/>
</calcChain>
</file>

<file path=xl/sharedStrings.xml><?xml version="1.0" encoding="utf-8"?>
<sst xmlns="http://schemas.openxmlformats.org/spreadsheetml/2006/main" count="37" uniqueCount="30">
  <si>
    <t>Results</t>
  </si>
  <si>
    <t>A</t>
  </si>
  <si>
    <t>B</t>
  </si>
  <si>
    <t>C</t>
  </si>
  <si>
    <t>D</t>
  </si>
  <si>
    <t>E</t>
  </si>
  <si>
    <t>F</t>
  </si>
  <si>
    <t>G</t>
  </si>
  <si>
    <t>H</t>
  </si>
  <si>
    <t>b-gal</t>
    <phoneticPr fontId="1"/>
  </si>
  <si>
    <t>n1</t>
  </si>
  <si>
    <t>n1</t>
    <phoneticPr fontId="1"/>
  </si>
  <si>
    <t>n2</t>
  </si>
  <si>
    <t>n2</t>
    <phoneticPr fontId="1"/>
  </si>
  <si>
    <t>n3</t>
  </si>
  <si>
    <t>n3</t>
    <phoneticPr fontId="1"/>
  </si>
  <si>
    <t>1*lysis buffer</t>
    <phoneticPr fontId="1"/>
  </si>
  <si>
    <t>対応表</t>
    <rPh sb="0" eb="2">
      <t xml:space="preserve">タイオウ </t>
    </rPh>
    <rPh sb="2" eb="3">
      <t xml:space="preserve">ヒョウ </t>
    </rPh>
    <phoneticPr fontId="1"/>
  </si>
  <si>
    <t>ルシフェラーゼアッセイ</t>
    <phoneticPr fontId="1"/>
  </si>
  <si>
    <t>Luc activity</t>
    <phoneticPr fontId="1"/>
  </si>
  <si>
    <t>ave</t>
    <phoneticPr fontId="1"/>
  </si>
  <si>
    <t>補正</t>
    <rPh sb="0" eb="2">
      <t xml:space="preserve">ホセイ </t>
    </rPh>
    <phoneticPr fontId="1"/>
  </si>
  <si>
    <t>12well 1/30希釈</t>
    <rPh sb="11" eb="13">
      <t xml:space="preserve">キシャク </t>
    </rPh>
    <phoneticPr fontId="1"/>
  </si>
  <si>
    <t>12well 1/60希釈</t>
    <phoneticPr fontId="1"/>
  </si>
  <si>
    <t>24well 1/10希釈</t>
    <phoneticPr fontId="1"/>
  </si>
  <si>
    <t>12well 1/10希釈</t>
    <phoneticPr fontId="1"/>
  </si>
  <si>
    <t>24well 1/30希釈</t>
    <phoneticPr fontId="1"/>
  </si>
  <si>
    <t>24well 1/60希釈</t>
    <phoneticPr fontId="1"/>
  </si>
  <si>
    <t>12well</t>
    <phoneticPr fontId="1"/>
  </si>
  <si>
    <t>24well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</si>
</sst>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Sheet1!$B$28:$G$28</c:f>
                <c:numCache>
                  <c:formatCode>General</c:formatCode>
                  <c:ptCount val="6"/>
                  <c:pt idx="0">
                    <c:v>151018.15969109716</c:v>
                  </c:pt>
                  <c:pt idx="1">
                    <c:v>43555.511963143195</c:v>
                  </c:pt>
                  <c:pt idx="2">
                    <c:v>46107.289876667259</c:v>
                  </c:pt>
                  <c:pt idx="3">
                    <c:v>25139.026096383364</c:v>
                  </c:pt>
                  <c:pt idx="4">
                    <c:v>41315.072308543007</c:v>
                  </c:pt>
                  <c:pt idx="5">
                    <c:v>35830.679882686403</c:v>
                  </c:pt>
                </c:numCache>
              </c:numRef>
            </c:plus>
            <c:minus>
              <c:numRef>
                <c:f>Sheet1!$B$28:$G$28</c:f>
                <c:numCache>
                  <c:formatCode>General</c:formatCode>
                  <c:ptCount val="6"/>
                  <c:pt idx="0">
                    <c:v>151018.15969109716</c:v>
                  </c:pt>
                  <c:pt idx="1">
                    <c:v>43555.511963143195</c:v>
                  </c:pt>
                  <c:pt idx="2">
                    <c:v>46107.289876667259</c:v>
                  </c:pt>
                  <c:pt idx="3">
                    <c:v>25139.026096383364</c:v>
                  </c:pt>
                  <c:pt idx="4">
                    <c:v>41315.072308543007</c:v>
                  </c:pt>
                  <c:pt idx="5">
                    <c:v>35830.679882686403</c:v>
                  </c:pt>
                </c:numCache>
              </c:numRef>
            </c:minus>
            <c:spPr>
              <a:noFill/>
              <a:ln w="285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Sheet1!$A$3:$F$3</c:f>
              <c:strCache>
                <c:ptCount val="6"/>
                <c:pt idx="0">
                  <c:v>12well 1/10希釈</c:v>
                </c:pt>
                <c:pt idx="1">
                  <c:v>12well 1/30希釈</c:v>
                </c:pt>
                <c:pt idx="2">
                  <c:v>12well 1/60希釈</c:v>
                </c:pt>
                <c:pt idx="3">
                  <c:v>24well 1/10希釈</c:v>
                </c:pt>
                <c:pt idx="4">
                  <c:v>24well 1/30希釈</c:v>
                </c:pt>
                <c:pt idx="5">
                  <c:v>24well 1/60希釈</c:v>
                </c:pt>
              </c:strCache>
            </c:strRef>
          </c:cat>
          <c:val>
            <c:numRef>
              <c:f>Sheet1!$B$27:$G$27</c:f>
              <c:numCache>
                <c:formatCode>General</c:formatCode>
                <c:ptCount val="6"/>
                <c:pt idx="0">
                  <c:v>349157.22132540587</c:v>
                </c:pt>
                <c:pt idx="1">
                  <c:v>483097.69667094335</c:v>
                </c:pt>
                <c:pt idx="2">
                  <c:v>427270.7479654848</c:v>
                </c:pt>
                <c:pt idx="3">
                  <c:v>438224.60531345912</c:v>
                </c:pt>
                <c:pt idx="4">
                  <c:v>429771.65561638406</c:v>
                </c:pt>
                <c:pt idx="5">
                  <c:v>459924.25387088669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2-4649-B6D5-59DD68F7D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067776"/>
        <c:axId val="2098673024"/>
      </c:barChart>
      <c:catAx>
        <c:axId val="20990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098673024"/>
        <c:crosses val="autoZero"/>
        <c:auto val="1"/>
        <c:lblAlgn val="ctr"/>
        <c:lblOffset val="100"/>
        <c:noMultiLvlLbl val="0"/>
      </c:catAx>
      <c:valAx>
        <c:axId val="2098673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Luc</a:t>
                </a:r>
                <a:r>
                  <a:rPr lang="en-US" altLang="ja-JP" baseline="0"/>
                  <a:t> activity [-]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09906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Sheet1!$B$11:$H$11</c:f>
                <c:numCache>
                  <c:formatCode>General</c:formatCode>
                  <c:ptCount val="7"/>
                  <c:pt idx="0">
                    <c:v>6.3089882971307978E-2</c:v>
                  </c:pt>
                  <c:pt idx="1">
                    <c:v>8.3864970836060905E-3</c:v>
                  </c:pt>
                  <c:pt idx="2">
                    <c:v>1.7672954855748751E-2</c:v>
                  </c:pt>
                  <c:pt idx="3">
                    <c:v>1.9924858845171277E-2</c:v>
                  </c:pt>
                  <c:pt idx="4">
                    <c:v>1.955334583474997E-2</c:v>
                  </c:pt>
                  <c:pt idx="5">
                    <c:v>1.5947831618540912E-2</c:v>
                  </c:pt>
                  <c:pt idx="6">
                    <c:v>5.7735026918962634E-4</c:v>
                  </c:pt>
                </c:numCache>
              </c:numRef>
            </c:plus>
            <c:minus>
              <c:numRef>
                <c:f>Sheet1!$B$11:$H$11</c:f>
                <c:numCache>
                  <c:formatCode>General</c:formatCode>
                  <c:ptCount val="7"/>
                  <c:pt idx="0">
                    <c:v>6.3089882971307978E-2</c:v>
                  </c:pt>
                  <c:pt idx="1">
                    <c:v>8.3864970836060905E-3</c:v>
                  </c:pt>
                  <c:pt idx="2">
                    <c:v>1.7672954855748751E-2</c:v>
                  </c:pt>
                  <c:pt idx="3">
                    <c:v>1.9924858845171277E-2</c:v>
                  </c:pt>
                  <c:pt idx="4">
                    <c:v>1.955334583474997E-2</c:v>
                  </c:pt>
                  <c:pt idx="5">
                    <c:v>1.5947831618540912E-2</c:v>
                  </c:pt>
                  <c:pt idx="6">
                    <c:v>5.7735026918962634E-4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Sheet1!$A$3:$F$3</c:f>
              <c:strCache>
                <c:ptCount val="6"/>
                <c:pt idx="0">
                  <c:v>12well 1/10希釈</c:v>
                </c:pt>
                <c:pt idx="1">
                  <c:v>12well 1/30希釈</c:v>
                </c:pt>
                <c:pt idx="2">
                  <c:v>12well 1/60希釈</c:v>
                </c:pt>
                <c:pt idx="3">
                  <c:v>24well 1/10希釈</c:v>
                </c:pt>
                <c:pt idx="4">
                  <c:v>24well 1/30希釈</c:v>
                </c:pt>
                <c:pt idx="5">
                  <c:v>24well 1/60希釈</c:v>
                </c:pt>
              </c:strCache>
            </c:strRef>
          </c:cat>
          <c:val>
            <c:numRef>
              <c:f>Sheet1!$B$10:$G$10</c:f>
              <c:numCache>
                <c:formatCode>General</c:formatCode>
                <c:ptCount val="6"/>
                <c:pt idx="0">
                  <c:v>0.11766666666666666</c:v>
                </c:pt>
                <c:pt idx="1">
                  <c:v>0.24566666666666667</c:v>
                </c:pt>
                <c:pt idx="2">
                  <c:v>0.23966666666666667</c:v>
                </c:pt>
                <c:pt idx="3">
                  <c:v>0.23199999999999998</c:v>
                </c:pt>
                <c:pt idx="4">
                  <c:v>0.26266666666666666</c:v>
                </c:pt>
                <c:pt idx="5">
                  <c:v>0.24033333333333332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6-B143-8209-CDA516876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80927"/>
        <c:axId val="206282639"/>
      </c:barChart>
      <c:catAx>
        <c:axId val="20628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06282639"/>
        <c:crosses val="autoZero"/>
        <c:auto val="1"/>
        <c:lblAlgn val="ctr"/>
        <c:lblOffset val="100"/>
        <c:noMultiLvlLbl val="0"/>
      </c:catAx>
      <c:valAx>
        <c:axId val="206282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0628092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Sheet1!$B$33:$C$33</c:f>
                <c:numCache>
                  <c:formatCode>General</c:formatCode>
                  <c:ptCount val="2"/>
                  <c:pt idx="0">
                    <c:v>46107.289900000003</c:v>
                  </c:pt>
                  <c:pt idx="1">
                    <c:v>35830.679900000003</c:v>
                  </c:pt>
                </c:numCache>
              </c:numRef>
            </c:plus>
            <c:minus>
              <c:numRef>
                <c:f>Sheet1!$B$33:$C$33</c:f>
                <c:numCache>
                  <c:formatCode>General</c:formatCode>
                  <c:ptCount val="2"/>
                  <c:pt idx="0">
                    <c:v>46107.289900000003</c:v>
                  </c:pt>
                  <c:pt idx="1">
                    <c:v>35830.679900000003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Sheet1!$B$31:$C$31</c:f>
              <c:strCache>
                <c:ptCount val="2"/>
                <c:pt idx="0">
                  <c:v>12well</c:v>
                </c:pt>
                <c:pt idx="1">
                  <c:v>24well</c:v>
                </c:pt>
              </c:strCache>
            </c:strRef>
          </c:cat>
          <c:val>
            <c:numRef>
              <c:f>Sheet1!$B$32:$C$32</c:f>
              <c:numCache>
                <c:formatCode>General</c:formatCode>
                <c:ptCount val="2"/>
                <c:pt idx="0">
                  <c:v>427270.74800000002</c:v>
                </c:pt>
                <c:pt idx="1">
                  <c:v>459924.25400000002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4-F440-9A0C-04B336A63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365456"/>
        <c:axId val="281192303"/>
      </c:barChart>
      <c:catAx>
        <c:axId val="207136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1192303"/>
        <c:crosses val="autoZero"/>
        <c:auto val="1"/>
        <c:lblAlgn val="ctr"/>
        <c:lblOffset val="100"/>
        <c:noMultiLvlLbl val="0"/>
      </c:catAx>
      <c:valAx>
        <c:axId val="281192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136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906814</xdr:colOff>
      <xdr:row>17</xdr:row>
      <xdr:rowOff>131183</xdr:rowOff>
    </xdr:from>
    <xdr:to>
      <xdr:col>16</xdr:col>
      <xdr:colOff>253999</xdr:colOff>
      <xdr:row>32</xdr:row>
      <xdr:rowOff>235857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B6F7632-F84D-05CD-C6BE-37DBF8B16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914400</xdr:colOff>
      <xdr:row>3</xdr:row>
      <xdr:rowOff>82550</xdr:rowOff>
    </xdr:from>
    <xdr:to>
      <xdr:col>16</xdr:col>
      <xdr:colOff>235858</xdr:colOff>
      <xdr:row>17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146FC6C-D8BB-8171-F9F0-B659BF5CD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240644</xdr:colOff>
      <xdr:row>33</xdr:row>
      <xdr:rowOff>146707</xdr:rowOff>
    </xdr:from>
    <xdr:to>
      <xdr:col>11</xdr:col>
      <xdr:colOff>29196</xdr:colOff>
      <xdr:row>44</xdr:row>
      <xdr:rowOff>233564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48A5D5A-010A-C7A4-A135-197D8575C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7575-15CF-6845-91D6-192CB027659D}">
  <dimension ref="A1:H33"/>
  <sheetViews>
    <sheetView tabSelected="1" topLeftCell="A9" zoomScale="85" workbookViewId="0">
      <selection activeCell="H24" sqref="H24"/>
    </sheetView>
  </sheetViews>
  <sheetFormatPr baseColWidth="10" defaultRowHeight="20"/>
  <sheetData>
    <row r="1" spans="1:8">
      <c r="A1" s="1" t="s">
        <v>17</v>
      </c>
    </row>
    <row r="2" spans="1:8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</row>
    <row r="3" spans="1:8">
      <c r="A3" t="s">
        <v>25</v>
      </c>
      <c r="B3" t="s">
        <v>22</v>
      </c>
      <c r="C3" t="s">
        <v>23</v>
      </c>
      <c r="D3" t="s">
        <v>24</v>
      </c>
      <c r="E3" t="s">
        <v>26</v>
      </c>
      <c r="F3" t="s">
        <v>27</v>
      </c>
      <c r="G3" t="s">
        <v>16</v>
      </c>
    </row>
    <row r="5" spans="1:8">
      <c r="A5" s="1" t="s">
        <v>9</v>
      </c>
    </row>
    <row r="6" spans="1:8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</row>
    <row r="7" spans="1:8">
      <c r="A7" t="s">
        <v>11</v>
      </c>
      <c r="B7">
        <v>0.19</v>
      </c>
      <c r="C7">
        <v>0.23599999999999999</v>
      </c>
      <c r="D7">
        <v>0.23100000000000001</v>
      </c>
      <c r="E7">
        <v>0.20899999999999999</v>
      </c>
      <c r="F7">
        <v>0.24099999999999999</v>
      </c>
      <c r="G7">
        <v>0.222</v>
      </c>
      <c r="H7">
        <v>5.5E-2</v>
      </c>
    </row>
    <row r="8" spans="1:8">
      <c r="A8" t="s">
        <v>13</v>
      </c>
      <c r="B8">
        <v>7.3999999999999996E-2</v>
      </c>
      <c r="C8">
        <v>0.25</v>
      </c>
      <c r="D8">
        <v>0.26</v>
      </c>
      <c r="E8">
        <v>0.24399999999999999</v>
      </c>
      <c r="F8">
        <v>0.27900000000000003</v>
      </c>
      <c r="G8">
        <v>0.251</v>
      </c>
      <c r="H8">
        <v>5.3999999999999999E-2</v>
      </c>
    </row>
    <row r="9" spans="1:8">
      <c r="A9" t="s">
        <v>15</v>
      </c>
      <c r="B9">
        <v>8.8999999999999996E-2</v>
      </c>
      <c r="C9">
        <v>0.251</v>
      </c>
      <c r="D9">
        <v>0.22800000000000001</v>
      </c>
      <c r="E9">
        <v>0.24299999999999999</v>
      </c>
      <c r="F9">
        <v>0.26800000000000002</v>
      </c>
      <c r="G9">
        <v>0.248</v>
      </c>
      <c r="H9">
        <v>5.5E-2</v>
      </c>
    </row>
    <row r="10" spans="1:8">
      <c r="A10" t="s">
        <v>20</v>
      </c>
      <c r="B10">
        <f>AVERAGE(B7:B9)</f>
        <v>0.11766666666666666</v>
      </c>
      <c r="C10">
        <f t="shared" ref="C10:H10" si="0">AVERAGE(C7:C9)</f>
        <v>0.24566666666666667</v>
      </c>
      <c r="D10">
        <f t="shared" si="0"/>
        <v>0.23966666666666667</v>
      </c>
      <c r="E10">
        <f t="shared" si="0"/>
        <v>0.23199999999999998</v>
      </c>
      <c r="F10">
        <f t="shared" si="0"/>
        <v>0.26266666666666666</v>
      </c>
      <c r="G10">
        <f t="shared" si="0"/>
        <v>0.24033333333333332</v>
      </c>
      <c r="H10">
        <f t="shared" si="0"/>
        <v>5.4666666666666669E-2</v>
      </c>
    </row>
    <row r="11" spans="1:8">
      <c r="A11" t="s">
        <v>21</v>
      </c>
      <c r="B11">
        <f>STDEV(B7:B9)</f>
        <v>6.3089882971307978E-2</v>
      </c>
      <c r="C11">
        <f t="shared" ref="C11:H11" si="1">STDEV(C7:C9)</f>
        <v>8.3864970836060905E-3</v>
      </c>
      <c r="D11">
        <f t="shared" si="1"/>
        <v>1.7672954855748751E-2</v>
      </c>
      <c r="E11">
        <f t="shared" si="1"/>
        <v>1.9924858845171277E-2</v>
      </c>
      <c r="F11">
        <f t="shared" si="1"/>
        <v>1.955334583474997E-2</v>
      </c>
      <c r="G11">
        <f t="shared" si="1"/>
        <v>1.5947831618540912E-2</v>
      </c>
      <c r="H11">
        <f t="shared" si="1"/>
        <v>5.7735026918962634E-4</v>
      </c>
    </row>
    <row r="15" spans="1:8">
      <c r="A15" s="1" t="s">
        <v>18</v>
      </c>
    </row>
    <row r="16" spans="1:8"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</row>
    <row r="17" spans="1:7">
      <c r="A17" t="s">
        <v>10</v>
      </c>
      <c r="B17">
        <v>97647</v>
      </c>
      <c r="C17">
        <v>123497</v>
      </c>
      <c r="D17">
        <v>104986</v>
      </c>
      <c r="E17">
        <v>96800</v>
      </c>
      <c r="F17">
        <v>113642</v>
      </c>
      <c r="G17">
        <v>107097</v>
      </c>
    </row>
    <row r="18" spans="1:7">
      <c r="A18" t="s">
        <v>12</v>
      </c>
      <c r="B18">
        <v>16083</v>
      </c>
      <c r="C18">
        <v>122295</v>
      </c>
      <c r="D18">
        <v>117856</v>
      </c>
      <c r="E18">
        <v>107026</v>
      </c>
      <c r="F18">
        <v>119647</v>
      </c>
      <c r="G18">
        <v>120166</v>
      </c>
    </row>
    <row r="19" spans="1:7">
      <c r="A19" t="s">
        <v>14</v>
      </c>
      <c r="B19">
        <v>28142</v>
      </c>
      <c r="C19">
        <v>109642</v>
      </c>
      <c r="D19">
        <v>85280</v>
      </c>
      <c r="E19">
        <v>100331</v>
      </c>
      <c r="F19">
        <v>104233</v>
      </c>
      <c r="G19">
        <v>103814</v>
      </c>
    </row>
    <row r="22" spans="1:7">
      <c r="A22" s="1" t="s">
        <v>19</v>
      </c>
    </row>
    <row r="23" spans="1:7"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</row>
    <row r="24" spans="1:7">
      <c r="A24" t="s">
        <v>11</v>
      </c>
      <c r="B24">
        <f>B17/B7</f>
        <v>513931.57894736843</v>
      </c>
      <c r="C24">
        <f t="shared" ref="B24:G26" si="2">C17/C7</f>
        <v>523292.37288135599</v>
      </c>
      <c r="D24">
        <f t="shared" si="2"/>
        <v>454484.84848484845</v>
      </c>
      <c r="E24">
        <f t="shared" si="2"/>
        <v>463157.89473684214</v>
      </c>
      <c r="F24">
        <f t="shared" si="2"/>
        <v>471543.56846473028</v>
      </c>
      <c r="G24">
        <f t="shared" si="2"/>
        <v>482418.91891891893</v>
      </c>
    </row>
    <row r="25" spans="1:7">
      <c r="A25" t="s">
        <v>13</v>
      </c>
      <c r="B25">
        <f t="shared" si="2"/>
        <v>217337.83783783784</v>
      </c>
      <c r="C25">
        <f t="shared" si="2"/>
        <v>489180</v>
      </c>
      <c r="D25">
        <f t="shared" si="2"/>
        <v>453292.30769230769</v>
      </c>
      <c r="E25">
        <f t="shared" si="2"/>
        <v>438631.14754098363</v>
      </c>
      <c r="F25">
        <f t="shared" si="2"/>
        <v>428842.29390680999</v>
      </c>
      <c r="G25">
        <f t="shared" si="2"/>
        <v>478749.00398406375</v>
      </c>
    </row>
    <row r="26" spans="1:7">
      <c r="A26" t="s">
        <v>15</v>
      </c>
      <c r="B26">
        <f t="shared" si="2"/>
        <v>316202.24719101127</v>
      </c>
      <c r="C26">
        <f t="shared" si="2"/>
        <v>436820.71713147411</v>
      </c>
      <c r="D26">
        <f t="shared" si="2"/>
        <v>374035.08771929826</v>
      </c>
      <c r="E26">
        <f t="shared" si="2"/>
        <v>412884.77366255142</v>
      </c>
      <c r="F26">
        <f t="shared" si="2"/>
        <v>388929.10447761189</v>
      </c>
      <c r="G26">
        <f t="shared" si="2"/>
        <v>418604.83870967739</v>
      </c>
    </row>
    <row r="27" spans="1:7">
      <c r="A27" t="s">
        <v>20</v>
      </c>
      <c r="B27">
        <f>AVERAGE(B24:B26)</f>
        <v>349157.22132540587</v>
      </c>
      <c r="C27">
        <f t="shared" ref="C27:G27" si="3">AVERAGE(C24:C26)</f>
        <v>483097.69667094335</v>
      </c>
      <c r="D27">
        <f t="shared" si="3"/>
        <v>427270.7479654848</v>
      </c>
      <c r="E27">
        <f t="shared" si="3"/>
        <v>438224.60531345912</v>
      </c>
      <c r="F27">
        <f t="shared" si="3"/>
        <v>429771.65561638406</v>
      </c>
      <c r="G27">
        <f t="shared" si="3"/>
        <v>459924.25387088669</v>
      </c>
    </row>
    <row r="28" spans="1:7">
      <c r="A28" t="s">
        <v>21</v>
      </c>
      <c r="B28">
        <f>STDEV(B24:B26)</f>
        <v>151018.15969109716</v>
      </c>
      <c r="C28">
        <f t="shared" ref="C28:G28" si="4">STDEV(C24:C26)</f>
        <v>43555.511963143195</v>
      </c>
      <c r="D28">
        <f t="shared" si="4"/>
        <v>46107.289876667259</v>
      </c>
      <c r="E28">
        <f t="shared" si="4"/>
        <v>25139.026096383364</v>
      </c>
      <c r="F28">
        <f t="shared" si="4"/>
        <v>41315.072308543007</v>
      </c>
      <c r="G28">
        <f t="shared" si="4"/>
        <v>35830.679882686403</v>
      </c>
    </row>
    <row r="31" spans="1:7">
      <c r="B31" t="s">
        <v>28</v>
      </c>
      <c r="C31" t="s">
        <v>29</v>
      </c>
    </row>
    <row r="32" spans="1:7">
      <c r="A32" t="s">
        <v>20</v>
      </c>
      <c r="B32" s="2">
        <v>427270.74800000002</v>
      </c>
      <c r="C32" s="2">
        <v>459924.25400000002</v>
      </c>
    </row>
    <row r="33" spans="1:3">
      <c r="A33" t="s">
        <v>21</v>
      </c>
      <c r="B33" s="2">
        <v>46107.289900000003</v>
      </c>
      <c r="C33" s="2">
        <v>35830.679900000003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DE86-A967-0648-98C3-1E64AA2713E0}">
  <dimension ref="A1:N10"/>
  <sheetViews>
    <sheetView workbookViewId="0">
      <selection activeCell="B3" sqref="B3:H5"/>
    </sheetView>
  </sheetViews>
  <sheetFormatPr baseColWidth="10" defaultRowHeight="20"/>
  <sheetData>
    <row r="1" spans="1:14">
      <c r="A1" t="s">
        <v>0</v>
      </c>
    </row>
    <row r="2" spans="1:14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4">
      <c r="A3" t="s">
        <v>1</v>
      </c>
      <c r="B3">
        <v>0.19</v>
      </c>
      <c r="C3">
        <v>0.23599999999999999</v>
      </c>
      <c r="D3">
        <v>0.23100000000000001</v>
      </c>
      <c r="E3">
        <v>0.20899999999999999</v>
      </c>
      <c r="F3">
        <v>0.24099999999999999</v>
      </c>
      <c r="G3">
        <v>0.222</v>
      </c>
      <c r="H3">
        <v>5.5E-2</v>
      </c>
      <c r="I3">
        <v>4.7E-2</v>
      </c>
      <c r="J3">
        <v>4.7E-2</v>
      </c>
      <c r="K3">
        <v>4.7E-2</v>
      </c>
      <c r="L3">
        <v>4.7E-2</v>
      </c>
      <c r="M3">
        <v>4.7E-2</v>
      </c>
      <c r="N3">
        <v>450</v>
      </c>
    </row>
    <row r="4" spans="1:14">
      <c r="A4" t="s">
        <v>2</v>
      </c>
      <c r="B4">
        <v>7.3999999999999996E-2</v>
      </c>
      <c r="C4">
        <v>0.25</v>
      </c>
      <c r="D4">
        <v>0.26</v>
      </c>
      <c r="E4">
        <v>0.24399999999999999</v>
      </c>
      <c r="F4">
        <v>0.27900000000000003</v>
      </c>
      <c r="G4">
        <v>0.251</v>
      </c>
      <c r="H4">
        <v>5.3999999999999999E-2</v>
      </c>
      <c r="I4">
        <v>4.7E-2</v>
      </c>
      <c r="J4">
        <v>4.7E-2</v>
      </c>
      <c r="K4">
        <v>4.8000000000000001E-2</v>
      </c>
      <c r="L4">
        <v>4.7E-2</v>
      </c>
      <c r="M4">
        <v>4.7E-2</v>
      </c>
      <c r="N4">
        <v>450</v>
      </c>
    </row>
    <row r="5" spans="1:14">
      <c r="A5" t="s">
        <v>3</v>
      </c>
      <c r="B5">
        <v>8.8999999999999996E-2</v>
      </c>
      <c r="C5">
        <v>0.251</v>
      </c>
      <c r="D5">
        <v>0.22800000000000001</v>
      </c>
      <c r="E5">
        <v>0.24299999999999999</v>
      </c>
      <c r="F5">
        <v>0.26800000000000002</v>
      </c>
      <c r="G5">
        <v>0.248</v>
      </c>
      <c r="H5">
        <v>5.5E-2</v>
      </c>
      <c r="I5">
        <v>4.9000000000000002E-2</v>
      </c>
      <c r="J5">
        <v>4.8000000000000001E-2</v>
      </c>
      <c r="K5">
        <v>4.7E-2</v>
      </c>
      <c r="L5">
        <v>4.7E-2</v>
      </c>
      <c r="M5">
        <v>4.8000000000000001E-2</v>
      </c>
      <c r="N5">
        <v>450</v>
      </c>
    </row>
    <row r="6" spans="1:14">
      <c r="A6" t="s">
        <v>4</v>
      </c>
      <c r="B6">
        <v>4.7E-2</v>
      </c>
      <c r="C6">
        <v>4.9000000000000002E-2</v>
      </c>
      <c r="D6">
        <v>4.7E-2</v>
      </c>
      <c r="E6">
        <v>4.7E-2</v>
      </c>
      <c r="F6">
        <v>4.5999999999999999E-2</v>
      </c>
      <c r="G6">
        <v>4.7E-2</v>
      </c>
      <c r="H6">
        <v>4.9000000000000002E-2</v>
      </c>
      <c r="I6">
        <v>4.8000000000000001E-2</v>
      </c>
      <c r="J6">
        <v>4.8000000000000001E-2</v>
      </c>
      <c r="K6">
        <v>4.8000000000000001E-2</v>
      </c>
      <c r="L6">
        <v>4.8000000000000001E-2</v>
      </c>
      <c r="M6">
        <v>4.7E-2</v>
      </c>
      <c r="N6">
        <v>450</v>
      </c>
    </row>
    <row r="7" spans="1:14">
      <c r="A7" t="s">
        <v>5</v>
      </c>
      <c r="B7">
        <v>4.8000000000000001E-2</v>
      </c>
      <c r="C7">
        <v>5.8999999999999997E-2</v>
      </c>
      <c r="D7">
        <v>4.9000000000000002E-2</v>
      </c>
      <c r="E7">
        <v>4.7E-2</v>
      </c>
      <c r="F7">
        <v>4.5999999999999999E-2</v>
      </c>
      <c r="G7">
        <v>0.05</v>
      </c>
      <c r="H7">
        <v>4.7E-2</v>
      </c>
      <c r="I7">
        <v>4.9000000000000002E-2</v>
      </c>
      <c r="J7">
        <v>4.9000000000000002E-2</v>
      </c>
      <c r="K7">
        <v>5.1999999999999998E-2</v>
      </c>
      <c r="L7">
        <v>4.8000000000000001E-2</v>
      </c>
      <c r="M7">
        <v>4.7E-2</v>
      </c>
      <c r="N7">
        <v>450</v>
      </c>
    </row>
    <row r="8" spans="1:14">
      <c r="A8" t="s">
        <v>6</v>
      </c>
      <c r="B8">
        <v>4.7E-2</v>
      </c>
      <c r="C8">
        <v>4.7E-2</v>
      </c>
      <c r="D8">
        <v>4.7E-2</v>
      </c>
      <c r="E8">
        <v>4.7E-2</v>
      </c>
      <c r="F8">
        <v>4.9000000000000002E-2</v>
      </c>
      <c r="G8">
        <v>4.8000000000000001E-2</v>
      </c>
      <c r="H8">
        <v>4.5999999999999999E-2</v>
      </c>
      <c r="I8">
        <v>4.8000000000000001E-2</v>
      </c>
      <c r="J8">
        <v>4.9000000000000002E-2</v>
      </c>
      <c r="K8">
        <v>4.8000000000000001E-2</v>
      </c>
      <c r="L8">
        <v>4.8000000000000001E-2</v>
      </c>
      <c r="M8">
        <v>4.8000000000000001E-2</v>
      </c>
      <c r="N8">
        <v>450</v>
      </c>
    </row>
    <row r="9" spans="1:14">
      <c r="A9" t="s">
        <v>7</v>
      </c>
      <c r="B9">
        <v>4.7E-2</v>
      </c>
      <c r="C9">
        <v>4.7E-2</v>
      </c>
      <c r="D9">
        <v>4.9000000000000002E-2</v>
      </c>
      <c r="E9">
        <v>4.8000000000000001E-2</v>
      </c>
      <c r="F9">
        <v>4.7E-2</v>
      </c>
      <c r="G9">
        <v>4.5999999999999999E-2</v>
      </c>
      <c r="H9">
        <v>4.5999999999999999E-2</v>
      </c>
      <c r="I9">
        <v>4.7E-2</v>
      </c>
      <c r="J9">
        <v>4.7E-2</v>
      </c>
      <c r="K9">
        <v>4.9000000000000002E-2</v>
      </c>
      <c r="L9">
        <v>4.7E-2</v>
      </c>
      <c r="M9">
        <v>4.9000000000000002E-2</v>
      </c>
      <c r="N9">
        <v>450</v>
      </c>
    </row>
    <row r="10" spans="1:14">
      <c r="A10" t="s">
        <v>8</v>
      </c>
      <c r="B10">
        <v>4.7E-2</v>
      </c>
      <c r="C10">
        <v>4.7E-2</v>
      </c>
      <c r="D10">
        <v>4.7E-2</v>
      </c>
      <c r="E10">
        <v>4.5999999999999999E-2</v>
      </c>
      <c r="F10">
        <v>4.5999999999999999E-2</v>
      </c>
      <c r="G10">
        <v>4.5999999999999999E-2</v>
      </c>
      <c r="H10">
        <v>4.7E-2</v>
      </c>
      <c r="I10">
        <v>4.8000000000000001E-2</v>
      </c>
      <c r="J10">
        <v>4.7E-2</v>
      </c>
      <c r="K10">
        <v>4.8000000000000001E-2</v>
      </c>
      <c r="L10">
        <v>4.7E-2</v>
      </c>
      <c r="M10">
        <v>4.9000000000000002E-2</v>
      </c>
      <c r="N10">
        <v>450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b-gal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2024-05-26T11:51:37Z</dcterms:created>
  <dcterms:modified xsi:type="dcterms:W3CDTF">2024-07-12T01:27:33Z</dcterms:modified>
</cp:coreProperties>
</file>