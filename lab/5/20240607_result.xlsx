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yutteee/univ/latex/研究/5/"/>
    </mc:Choice>
  </mc:AlternateContent>
  <xr:revisionPtr revIDLastSave="0" documentId="13_ncr:1_{F1945760-EDEC-574E-BA16-2EA99A395858}" xr6:coauthVersionLast="47" xr6:coauthVersionMax="47" xr10:uidLastSave="{00000000-0000-0000-0000-000000000000}"/>
  <bookViews>
    <workbookView xWindow="0" yWindow="1000" windowWidth="34560" windowHeight="21100" activeTab="2" xr2:uid="{CB4187E6-595D-ED48-9E09-EE49FE6553F8}"/>
  </bookViews>
  <sheets>
    <sheet name="luc" sheetId="1" r:id="rId1"/>
    <sheet name="b-gal" sheetId="2" r:id="rId2"/>
    <sheet name="過去結果比較"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8" i="3" l="1"/>
  <c r="G36" i="3"/>
  <c r="G29" i="3"/>
  <c r="B29" i="3"/>
  <c r="A29" i="3"/>
  <c r="K33" i="3"/>
  <c r="J33" i="3"/>
  <c r="K32" i="3"/>
  <c r="J32" i="3"/>
  <c r="G41" i="3"/>
  <c r="G42" i="3"/>
  <c r="G43" i="3"/>
  <c r="F42" i="3"/>
  <c r="F43" i="3"/>
  <c r="F41" i="3"/>
  <c r="C31" i="3"/>
  <c r="C32" i="3"/>
  <c r="C30" i="3"/>
  <c r="C26" i="3"/>
  <c r="J28" i="3"/>
  <c r="J29" i="3"/>
  <c r="K29" i="3"/>
  <c r="G39" i="3"/>
  <c r="G38" i="3"/>
  <c r="G37" i="3"/>
  <c r="F39" i="3"/>
  <c r="F38" i="3"/>
  <c r="F37" i="3"/>
  <c r="C27" i="3"/>
  <c r="C28" i="3"/>
  <c r="D25" i="1"/>
  <c r="C25" i="1"/>
  <c r="D24" i="1"/>
  <c r="C24" i="1"/>
  <c r="G5" i="3"/>
  <c r="G6" i="3"/>
  <c r="G7" i="3"/>
  <c r="G8" i="3"/>
  <c r="G9" i="3"/>
  <c r="G10" i="3"/>
  <c r="G11" i="3"/>
  <c r="G12" i="3"/>
  <c r="G13" i="3"/>
  <c r="G14" i="3"/>
  <c r="G15" i="3"/>
  <c r="G16" i="3"/>
  <c r="G17" i="3"/>
  <c r="G18" i="3"/>
  <c r="G19" i="3"/>
  <c r="G20" i="3"/>
  <c r="G4" i="3"/>
  <c r="J6" i="3" s="1"/>
  <c r="K5" i="3" l="1"/>
  <c r="L6" i="3"/>
  <c r="M5" i="3"/>
  <c r="L5" i="3"/>
  <c r="K6" i="3"/>
  <c r="J5" i="3"/>
  <c r="M6" i="3"/>
  <c r="B22" i="1"/>
  <c r="C22" i="1"/>
  <c r="D22" i="1"/>
  <c r="E22" i="1"/>
  <c r="B23" i="1"/>
  <c r="C23" i="1"/>
  <c r="D23" i="1"/>
  <c r="E23" i="1"/>
  <c r="C21" i="1"/>
  <c r="D21" i="1"/>
  <c r="E21" i="1"/>
  <c r="B21" i="1"/>
</calcChain>
</file>

<file path=xl/sharedStrings.xml><?xml version="1.0" encoding="utf-8"?>
<sst xmlns="http://schemas.openxmlformats.org/spreadsheetml/2006/main" count="66" uniqueCount="36">
  <si>
    <t>24well</t>
    <phoneticPr fontId="1"/>
  </si>
  <si>
    <t>60mmdish</t>
    <phoneticPr fontId="1"/>
  </si>
  <si>
    <t>n1</t>
    <phoneticPr fontId="1"/>
  </si>
  <si>
    <t>n2</t>
    <phoneticPr fontId="1"/>
  </si>
  <si>
    <t>n3</t>
    <phoneticPr fontId="1"/>
  </si>
  <si>
    <t>ave</t>
    <phoneticPr fontId="1"/>
  </si>
  <si>
    <t>補正</t>
    <rPh sb="0" eb="2">
      <t xml:space="preserve">ホセイ </t>
    </rPh>
    <phoneticPr fontId="1"/>
  </si>
  <si>
    <t>Results</t>
  </si>
  <si>
    <t>A</t>
  </si>
  <si>
    <t>B</t>
  </si>
  <si>
    <t>C</t>
  </si>
  <si>
    <t>D</t>
  </si>
  <si>
    <t>E</t>
  </si>
  <si>
    <t>F</t>
  </si>
  <si>
    <t>G</t>
  </si>
  <si>
    <t>H</t>
  </si>
  <si>
    <t>ホタルルシフェラーゼ</t>
    <phoneticPr fontId="1"/>
  </si>
  <si>
    <t>β-gal</t>
    <phoneticPr fontId="1"/>
  </si>
  <si>
    <t>control</t>
    <phoneticPr fontId="1"/>
  </si>
  <si>
    <t>Luc activity</t>
    <phoneticPr fontId="1"/>
  </si>
  <si>
    <t>平均</t>
    <rPh sb="0" eb="2">
      <t xml:space="preserve">ヘイキン </t>
    </rPh>
    <phoneticPr fontId="1"/>
  </si>
  <si>
    <t>415nm</t>
    <phoneticPr fontId="1"/>
  </si>
  <si>
    <t>ホタル</t>
    <phoneticPr fontId="1"/>
  </si>
  <si>
    <t>Luc</t>
    <phoneticPr fontId="1"/>
  </si>
  <si>
    <t>450nm</t>
    <phoneticPr fontId="1"/>
  </si>
  <si>
    <t>実験</t>
    <rPh sb="0" eb="2">
      <t xml:space="preserve">ジッケン </t>
    </rPh>
    <phoneticPr fontId="1"/>
  </si>
  <si>
    <t>波長</t>
    <rPh sb="0" eb="2">
      <t xml:space="preserve">ハチョウ </t>
    </rPh>
    <phoneticPr fontId="1"/>
  </si>
  <si>
    <t>β-gal/ホタル</t>
    <phoneticPr fontId="1"/>
  </si>
  <si>
    <t>4(24h)(12well)</t>
    <phoneticPr fontId="1"/>
  </si>
  <si>
    <t>(24well)</t>
    <phoneticPr fontId="1"/>
  </si>
  <si>
    <t>5(24well)</t>
    <phoneticPr fontId="1"/>
  </si>
  <si>
    <t>(dish)</t>
    <phoneticPr fontId="1"/>
  </si>
  <si>
    <t>β-galの測定波長が間違っていることに気づいたので影響を比較している</t>
    <rPh sb="6" eb="10">
      <t xml:space="preserve">ソクテイハチョウグ </t>
    </rPh>
    <rPh sb="11" eb="13">
      <t xml:space="preserve">マチガッテイルコトニ </t>
    </rPh>
    <rPh sb="20" eb="21">
      <t xml:space="preserve">キヅイタノデ </t>
    </rPh>
    <rPh sb="26" eb="28">
      <t xml:space="preserve">エイキョウヲ </t>
    </rPh>
    <rPh sb="29" eb="31">
      <t xml:space="preserve">ヒカクシテイル </t>
    </rPh>
    <phoneticPr fontId="1"/>
  </si>
  <si>
    <t>トランスフェクションの時間に関して</t>
    <rPh sb="11" eb="13">
      <t xml:space="preserve">ジカンニ </t>
    </rPh>
    <rPh sb="14" eb="15">
      <t xml:space="preserve">カンシテ </t>
    </rPh>
    <phoneticPr fontId="1"/>
  </si>
  <si>
    <t>24h</t>
    <phoneticPr fontId="1"/>
  </si>
  <si>
    <t>4h</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</si>
</sst>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游ゴシック"/>
      <family val="2"/>
      <charset val="128"/>
      <scheme val="minor"/>
    </font>
    <font>
      <sz val="6"/>
      <name val="游ゴシック"/>
      <family val="2"/>
      <charset val="128"/>
      <scheme val="minor"/>
    </font>
    <font>
      <b/>
      <sz val="12"/>
      <color theme="1"/>
      <name val="游ゴシック"/>
      <family val="3"/>
      <charset val="128"/>
      <scheme val="minor"/>
    </font>
  </fonts>
  <fills count="2">
    <fill>
      <patternFill patternType="none"/>
    </fill>
    <fill>
      <patternFill patternType="gray125"/>
    </fill>
  </fills>
  <borders count="19">
    <border>
      <left/>
      <right/>
      <top/>
      <bottom/>
      <diagonal/>
    </border>
    <border>
      <left style="thin">
        <color indexed="64"/>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4" xfId="0" applyBorder="1">
      <alignment vertical="center"/>
    </xf>
    <xf numFmtId="0" fontId="0" fillId="0" borderId="5" xfId="0" applyBorder="1">
      <alignment vertical="center"/>
    </xf>
    <xf numFmtId="0" fontId="2" fillId="0" borderId="6" xfId="0" applyFont="1" applyBorder="1">
      <alignment vertical="center"/>
    </xf>
    <xf numFmtId="0" fontId="0" fillId="0" borderId="7"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2" fillId="0" borderId="3" xfId="0" applyFont="1"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60000"/>
                <a:lumOff val="40000"/>
              </a:schemeClr>
            </a:solidFill>
            <a:ln>
              <a:noFill/>
            </a:ln>
            <a:effectLst/>
          </c:spPr>
          <c:invertIfNegative val="0"/>
          <c:errBars>
            <c:errBarType val="both"/>
            <c:errValType val="cust"/>
            <c:noEndCap val="0"/>
            <c:plus>
              <c:numRef>
                <c:f>luc!$C$25:$D$25</c:f>
                <c:numCache>
                  <c:formatCode>General</c:formatCode>
                  <c:ptCount val="2"/>
                  <c:pt idx="0">
                    <c:v>366939.25496811338</c:v>
                  </c:pt>
                  <c:pt idx="1">
                    <c:v>209866.37534055626</c:v>
                  </c:pt>
                </c:numCache>
              </c:numRef>
            </c:plus>
            <c:minus>
              <c:numRef>
                <c:f>luc!$C$25:$D$25</c:f>
                <c:numCache>
                  <c:formatCode>General</c:formatCode>
                  <c:ptCount val="2"/>
                  <c:pt idx="0">
                    <c:v>366939.25496811338</c:v>
                  </c:pt>
                  <c:pt idx="1">
                    <c:v>209866.37534055626</c:v>
                  </c:pt>
                </c:numCache>
              </c:numRef>
            </c:minus>
            <c:spPr>
              <a:noFill/>
              <a:ln w="25400" cap="flat" cmpd="sng" algn="ctr">
                <a:solidFill>
                  <a:schemeClr val="tx1"/>
                </a:solidFill>
                <a:round/>
              </a:ln>
              <a:effectLst/>
            </c:spPr>
          </c:errBars>
          <c:cat>
            <c:strRef>
              <c:f>luc!$C$26:$D$26</c:f>
              <c:strCache>
                <c:ptCount val="2"/>
                <c:pt idx="0">
                  <c:v>24well</c:v>
                </c:pt>
                <c:pt idx="1">
                  <c:v>60mmdish</c:v>
                </c:pt>
              </c:strCache>
            </c:strRef>
          </c:cat>
          <c:val>
            <c:numRef>
              <c:f>luc!$C$24:$D$24</c:f>
              <c:numCache>
                <c:formatCode>General</c:formatCode>
                <c:ptCount val="2"/>
                <c:pt idx="0">
                  <c:v>763871.00364674663</c:v>
                </c:pt>
                <c:pt idx="1">
                  <c:v>2171196.4717701166</c:v>
                </c:pt>
              </c:numCache>
            </c:numRef>
          </c:val>
          <c:extLst>
            <c:ext xmlns:c16="http://schemas.microsoft.com/office/drawing/2014/chart" uri="{C3380CC4-5D6E-409C-BE32-E72D297353CC}">
              <c16:uniqueId val="{00000000-D749-F84D-91AB-800CB2D64E97}"/>
            </c:ext>
          </c:extLst>
        </c:ser>
        <c:dLbls>
          <c:showLegendKey val="0"/>
          <c:showVal val="0"/>
          <c:showCatName val="0"/>
          <c:showSerName val="0"/>
          <c:showPercent val="0"/>
          <c:showBubbleSize val="0"/>
        </c:dLbls>
        <c:gapWidth val="219"/>
        <c:overlap val="-27"/>
        <c:axId val="62271183"/>
        <c:axId val="643815680"/>
      </c:barChart>
      <c:catAx>
        <c:axId val="6227118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ja-JP"/>
          </a:p>
        </c:txPr>
        <c:crossAx val="643815680"/>
        <c:crosses val="autoZero"/>
        <c:auto val="1"/>
        <c:lblAlgn val="ctr"/>
        <c:lblOffset val="100"/>
        <c:noMultiLvlLbl val="0"/>
      </c:catAx>
      <c:valAx>
        <c:axId val="643815680"/>
        <c:scaling>
          <c:orientation val="minMax"/>
        </c:scaling>
        <c:delete val="0"/>
        <c:axPos val="l"/>
        <c:numFmt formatCode="General" sourceLinked="1"/>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ja-JP"/>
          </a:p>
        </c:txPr>
        <c:crossAx val="62271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solidFill>
            <a:schemeClr val="tx1"/>
          </a:solidFill>
          <a:latin typeface="Arial" panose="020B0604020202020204" pitchFamily="34" charset="0"/>
          <a:cs typeface="Arial" panose="020B0604020202020204" pitchFamily="34" charset="0"/>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各実験でのルシフェラーゼ発現量に対する</a:t>
            </a:r>
            <a:r>
              <a:rPr lang="en-US" altLang="ja-JP"/>
              <a:t>β-gal</a:t>
            </a:r>
            <a:r>
              <a:rPr lang="ja-JP" altLang="en-US"/>
              <a:t>発現量</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barChart>
        <c:barDir val="col"/>
        <c:grouping val="clustered"/>
        <c:varyColors val="0"/>
        <c:ser>
          <c:idx val="0"/>
          <c:order val="0"/>
          <c:spPr>
            <a:solidFill>
              <a:schemeClr val="accent1">
                <a:lumMod val="60000"/>
                <a:lumOff val="40000"/>
              </a:schemeClr>
            </a:solidFill>
            <a:ln>
              <a:noFill/>
            </a:ln>
            <a:effectLst/>
          </c:spPr>
          <c:invertIfNegative val="0"/>
          <c:errBars>
            <c:errBarType val="both"/>
            <c:errValType val="cust"/>
            <c:noEndCap val="0"/>
            <c:plus>
              <c:numRef>
                <c:f>過去結果比較!$J$6:$M$6</c:f>
                <c:numCache>
                  <c:formatCode>General</c:formatCode>
                  <c:ptCount val="4"/>
                  <c:pt idx="0">
                    <c:v>3.0954032701148288E-8</c:v>
                  </c:pt>
                  <c:pt idx="1">
                    <c:v>1.5715262024941574E-7</c:v>
                  </c:pt>
                  <c:pt idx="2">
                    <c:v>2.2698240747850303E-7</c:v>
                  </c:pt>
                  <c:pt idx="3">
                    <c:v>4.6732388085243524E-7</c:v>
                  </c:pt>
                </c:numCache>
              </c:numRef>
            </c:plus>
            <c:minus>
              <c:numRef>
                <c:f>過去結果比較!$J$6:$M$6</c:f>
                <c:numCache>
                  <c:formatCode>General</c:formatCode>
                  <c:ptCount val="4"/>
                  <c:pt idx="0">
                    <c:v>3.0954032701148288E-8</c:v>
                  </c:pt>
                  <c:pt idx="1">
                    <c:v>1.5715262024941574E-7</c:v>
                  </c:pt>
                  <c:pt idx="2">
                    <c:v>2.2698240747850303E-7</c:v>
                  </c:pt>
                  <c:pt idx="3">
                    <c:v>4.6732388085243524E-7</c:v>
                  </c:pt>
                </c:numCache>
              </c:numRef>
            </c:minus>
            <c:spPr>
              <a:noFill/>
              <a:ln w="25400" cap="flat" cmpd="sng" algn="ctr">
                <a:solidFill>
                  <a:schemeClr val="tx1"/>
                </a:solidFill>
                <a:round/>
              </a:ln>
              <a:effectLst/>
            </c:spPr>
          </c:errBars>
          <c:cat>
            <c:numRef>
              <c:f>過去結果比較!$J$4:$M$4</c:f>
              <c:numCache>
                <c:formatCode>General</c:formatCode>
                <c:ptCount val="4"/>
                <c:pt idx="0">
                  <c:v>2</c:v>
                </c:pt>
                <c:pt idx="1">
                  <c:v>3</c:v>
                </c:pt>
                <c:pt idx="2">
                  <c:v>4</c:v>
                </c:pt>
                <c:pt idx="3">
                  <c:v>5</c:v>
                </c:pt>
              </c:numCache>
            </c:numRef>
          </c:cat>
          <c:val>
            <c:numRef>
              <c:f>過去結果比較!$J$5:$M$5</c:f>
              <c:numCache>
                <c:formatCode>General</c:formatCode>
                <c:ptCount val="4"/>
                <c:pt idx="0">
                  <c:v>4.5935400222201348E-7</c:v>
                </c:pt>
                <c:pt idx="1">
                  <c:v>7.4345498978180394E-7</c:v>
                </c:pt>
                <c:pt idx="2">
                  <c:v>2.2717455904865914E-6</c:v>
                </c:pt>
                <c:pt idx="3">
                  <c:v>8.1890574889209881E-7</c:v>
                </c:pt>
              </c:numCache>
            </c:numRef>
          </c:val>
          <c:extLst>
            <c:ext xmlns:c16="http://schemas.microsoft.com/office/drawing/2014/chart" uri="{C3380CC4-5D6E-409C-BE32-E72D297353CC}">
              <c16:uniqueId val="{00000000-6F5D-DC4F-9E51-04D9AA007FC3}"/>
            </c:ext>
          </c:extLst>
        </c:ser>
        <c:dLbls>
          <c:showLegendKey val="0"/>
          <c:showVal val="0"/>
          <c:showCatName val="0"/>
          <c:showSerName val="0"/>
          <c:showPercent val="0"/>
          <c:showBubbleSize val="0"/>
        </c:dLbls>
        <c:gapWidth val="219"/>
        <c:overlap val="-27"/>
        <c:axId val="31798655"/>
        <c:axId val="65394079"/>
      </c:barChart>
      <c:catAx>
        <c:axId val="3179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5394079"/>
        <c:crosses val="autoZero"/>
        <c:auto val="1"/>
        <c:lblAlgn val="ctr"/>
        <c:lblOffset val="100"/>
        <c:noMultiLvlLbl val="0"/>
      </c:catAx>
      <c:valAx>
        <c:axId val="65394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179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sz="1100" b="0" i="0" u="none" strike="noStrike" kern="1200" spc="0" baseline="0">
                <a:solidFill>
                  <a:sysClr val="windowText" lastClr="000000">
                    <a:lumMod val="65000"/>
                    <a:lumOff val="35000"/>
                  </a:sysClr>
                </a:solidFill>
              </a:rPr>
              <a:t>ルシフェラーゼ発現量に対する</a:t>
            </a:r>
            <a:r>
              <a:rPr lang="en-US" altLang="ja-JP" sz="1100" b="0" i="0" u="none" strike="noStrike" kern="1200" spc="0" baseline="0">
                <a:solidFill>
                  <a:sysClr val="windowText" lastClr="000000">
                    <a:lumMod val="65000"/>
                    <a:lumOff val="35000"/>
                  </a:sysClr>
                </a:solidFill>
              </a:rPr>
              <a:t>β-gal</a:t>
            </a:r>
            <a:r>
              <a:rPr lang="ja-JP" altLang="en-US" sz="1100" b="0" i="0" u="none" strike="noStrike" kern="1200" spc="0" baseline="0">
                <a:solidFill>
                  <a:sysClr val="windowText" lastClr="000000">
                    <a:lumMod val="65000"/>
                    <a:lumOff val="35000"/>
                  </a:sysClr>
                </a:solidFill>
              </a:rPr>
              <a:t>発現量</a:t>
            </a:r>
            <a:endParaRPr lang="ja-JP"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barChart>
        <c:barDir val="col"/>
        <c:grouping val="clustered"/>
        <c:varyColors val="0"/>
        <c:ser>
          <c:idx val="0"/>
          <c:order val="0"/>
          <c:spPr>
            <a:solidFill>
              <a:schemeClr val="accent1"/>
            </a:solidFill>
            <a:ln>
              <a:noFill/>
            </a:ln>
            <a:effectLst/>
          </c:spPr>
          <c:invertIfNegative val="0"/>
          <c:val>
            <c:numRef>
              <c:f>過去結果比較!$G$4:$G$20</c:f>
              <c:numCache>
                <c:formatCode>General</c:formatCode>
                <c:ptCount val="17"/>
                <c:pt idx="0">
                  <c:v>4.3746619579396138E-7</c:v>
                </c:pt>
                <c:pt idx="1">
                  <c:v>4.8124180865006558E-7</c:v>
                </c:pt>
                <c:pt idx="2">
                  <c:v>6.0798632655797924E-7</c:v>
                </c:pt>
                <c:pt idx="3">
                  <c:v>9.1575091575091579E-7</c:v>
                </c:pt>
                <c:pt idx="4">
                  <c:v>7.0662772703651647E-7</c:v>
                </c:pt>
                <c:pt idx="5">
                  <c:v>2.2002933724496602E-6</c:v>
                </c:pt>
                <c:pt idx="6">
                  <c:v>2.2060819983708933E-6</c:v>
                </c:pt>
                <c:pt idx="7">
                  <c:v>2.6735459662288933E-6</c:v>
                </c:pt>
                <c:pt idx="8">
                  <c:v>2.0728871957197683E-6</c:v>
                </c:pt>
                <c:pt idx="9">
                  <c:v>2.0887771915516867E-6</c:v>
                </c:pt>
                <c:pt idx="10">
                  <c:v>2.3888878185986475E-6</c:v>
                </c:pt>
                <c:pt idx="11">
                  <c:v>1.0237995186614205E-6</c:v>
                </c:pt>
                <c:pt idx="12">
                  <c:v>9.6169341214020965E-7</c:v>
                </c:pt>
                <c:pt idx="13">
                  <c:v>1.5962441314553992E-6</c:v>
                </c:pt>
                <c:pt idx="14">
                  <c:v>4.2150561806773792E-7</c:v>
                </c:pt>
                <c:pt idx="15">
                  <c:v>4.9177864496769282E-7</c:v>
                </c:pt>
                <c:pt idx="16">
                  <c:v>4.1841316806013198E-7</c:v>
                </c:pt>
              </c:numCache>
            </c:numRef>
          </c:val>
          <c:extLst>
            <c:ext xmlns:c16="http://schemas.microsoft.com/office/drawing/2014/chart" uri="{C3380CC4-5D6E-409C-BE32-E72D297353CC}">
              <c16:uniqueId val="{00000000-CCAF-B041-B184-DA908CEF48CA}"/>
            </c:ext>
          </c:extLst>
        </c:ser>
        <c:dLbls>
          <c:showLegendKey val="0"/>
          <c:showVal val="0"/>
          <c:showCatName val="0"/>
          <c:showSerName val="0"/>
          <c:showPercent val="0"/>
          <c:showBubbleSize val="0"/>
        </c:dLbls>
        <c:gapWidth val="219"/>
        <c:overlap val="-27"/>
        <c:axId val="31495023"/>
        <c:axId val="1699155232"/>
      </c:barChart>
      <c:catAx>
        <c:axId val="31495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9155232"/>
        <c:crosses val="autoZero"/>
        <c:auto val="1"/>
        <c:lblAlgn val="ctr"/>
        <c:lblOffset val="100"/>
        <c:noMultiLvlLbl val="0"/>
      </c:catAx>
      <c:valAx>
        <c:axId val="169915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1495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60000"/>
                <a:lumOff val="40000"/>
              </a:schemeClr>
            </a:solidFill>
            <a:ln>
              <a:noFill/>
            </a:ln>
            <a:effectLst/>
          </c:spPr>
          <c:invertIfNegative val="0"/>
          <c:errBars>
            <c:errBarType val="both"/>
            <c:errValType val="cust"/>
            <c:noEndCap val="0"/>
            <c:plus>
              <c:numRef>
                <c:f>過去結果比較!$J$29:$K$29</c:f>
                <c:numCache>
                  <c:formatCode>General</c:formatCode>
                  <c:ptCount val="2"/>
                  <c:pt idx="0">
                    <c:v>1.780333648944761E-7</c:v>
                  </c:pt>
                  <c:pt idx="1">
                    <c:v>3.4981057220718197E-7</c:v>
                  </c:pt>
                </c:numCache>
              </c:numRef>
            </c:plus>
            <c:minus>
              <c:numRef>
                <c:f>過去結果比較!$J$29:$K$29</c:f>
                <c:numCache>
                  <c:formatCode>General</c:formatCode>
                  <c:ptCount val="2"/>
                  <c:pt idx="0">
                    <c:v>1.780333648944761E-7</c:v>
                  </c:pt>
                  <c:pt idx="1">
                    <c:v>3.4981057220718197E-7</c:v>
                  </c:pt>
                </c:numCache>
              </c:numRef>
            </c:minus>
            <c:spPr>
              <a:noFill/>
              <a:ln w="25400" cap="flat" cmpd="sng" algn="ctr">
                <a:solidFill>
                  <a:schemeClr val="tx1"/>
                </a:solidFill>
                <a:round/>
              </a:ln>
              <a:effectLst/>
            </c:spPr>
          </c:errBars>
          <c:cat>
            <c:strRef>
              <c:f>過去結果比較!$J$27:$K$27</c:f>
              <c:strCache>
                <c:ptCount val="2"/>
                <c:pt idx="0">
                  <c:v>24h</c:v>
                </c:pt>
                <c:pt idx="1">
                  <c:v>4h</c:v>
                </c:pt>
              </c:strCache>
            </c:strRef>
          </c:cat>
          <c:val>
            <c:numRef>
              <c:f>過去結果比較!$J$28:$K$28</c:f>
              <c:numCache>
                <c:formatCode>General</c:formatCode>
                <c:ptCount val="2"/>
                <c:pt idx="0">
                  <c:v>2.1835174019567007E-6</c:v>
                </c:pt>
                <c:pt idx="1">
                  <c:v>1.1939123540856766E-6</c:v>
                </c:pt>
              </c:numCache>
            </c:numRef>
          </c:val>
          <c:extLst>
            <c:ext xmlns:c16="http://schemas.microsoft.com/office/drawing/2014/chart" uri="{C3380CC4-5D6E-409C-BE32-E72D297353CC}">
              <c16:uniqueId val="{00000000-D1B5-0945-BF86-958834DCE2D6}"/>
            </c:ext>
          </c:extLst>
        </c:ser>
        <c:dLbls>
          <c:showLegendKey val="0"/>
          <c:showVal val="0"/>
          <c:showCatName val="0"/>
          <c:showSerName val="0"/>
          <c:showPercent val="0"/>
          <c:showBubbleSize val="0"/>
        </c:dLbls>
        <c:gapWidth val="219"/>
        <c:overlap val="-27"/>
        <c:axId val="2085797520"/>
        <c:axId val="2085834080"/>
      </c:barChart>
      <c:catAx>
        <c:axId val="208579752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Osaka" panose="020B0600000000000000" pitchFamily="34" charset="-128"/>
                <a:cs typeface="Arial" panose="020B0604020202020204" pitchFamily="34" charset="0"/>
              </a:defRPr>
            </a:pPr>
            <a:endParaRPr lang="ja-JP"/>
          </a:p>
        </c:txPr>
        <c:crossAx val="2085834080"/>
        <c:crosses val="autoZero"/>
        <c:auto val="1"/>
        <c:lblAlgn val="ctr"/>
        <c:lblOffset val="100"/>
        <c:noMultiLvlLbl val="0"/>
      </c:catAx>
      <c:valAx>
        <c:axId val="2085834080"/>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Osaka" panose="020B0600000000000000" pitchFamily="34" charset="-128"/>
                    <a:cs typeface="Arial" panose="020B0604020202020204" pitchFamily="34" charset="0"/>
                  </a:defRPr>
                </a:pPr>
                <a:r>
                  <a:rPr lang="en-US"/>
                  <a:t>β-gal</a:t>
                </a:r>
                <a:r>
                  <a:rPr lang="ja-JP"/>
                  <a:t>活性</a:t>
                </a:r>
                <a:r>
                  <a:rPr lang="en-US"/>
                  <a:t>/</a:t>
                </a:r>
                <a:r>
                  <a:rPr lang="ja-JP"/>
                  <a:t>ホタルルシフェラーゼ活性</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Osaka" panose="020B0600000000000000" pitchFamily="34" charset="-128"/>
                  <a:cs typeface="Arial" panose="020B0604020202020204" pitchFamily="34" charset="0"/>
                </a:defRPr>
              </a:pPr>
              <a:endParaRPr lang="ja-JP"/>
            </a:p>
          </c:txPr>
        </c:title>
        <c:numFmt formatCode="General" sourceLinked="1"/>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Osaka" panose="020B0600000000000000" pitchFamily="34" charset="-128"/>
                <a:cs typeface="Arial" panose="020B0604020202020204" pitchFamily="34" charset="0"/>
              </a:defRPr>
            </a:pPr>
            <a:endParaRPr lang="ja-JP"/>
          </a:p>
        </c:txPr>
        <c:crossAx val="2085797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solidFill>
            <a:schemeClr val="tx1"/>
          </a:solidFill>
          <a:latin typeface="Arial" panose="020B0604020202020204" pitchFamily="34" charset="0"/>
          <a:ea typeface="Osaka" panose="020B0600000000000000" pitchFamily="34" charset="-128"/>
          <a:cs typeface="Arial" panose="020B0604020202020204" pitchFamily="34" charset="0"/>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97A9-734E-84B9-9390A1BBF8EA}"/>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97A9-734E-84B9-9390A1BBF8EA}"/>
              </c:ext>
            </c:extLst>
          </c:dPt>
          <c:errBars>
            <c:errBarType val="both"/>
            <c:errValType val="cust"/>
            <c:noEndCap val="0"/>
            <c:plus>
              <c:numRef>
                <c:f>過去結果比較!$J$33:$K$33</c:f>
                <c:numCache>
                  <c:formatCode>General</c:formatCode>
                  <c:ptCount val="2"/>
                  <c:pt idx="0">
                    <c:v>35830.679882686403</c:v>
                  </c:pt>
                  <c:pt idx="1">
                    <c:v>222690.0750350758</c:v>
                  </c:pt>
                </c:numCache>
              </c:numRef>
            </c:plus>
            <c:minus>
              <c:numRef>
                <c:f>過去結果比較!$J$33:$K$33</c:f>
                <c:numCache>
                  <c:formatCode>General</c:formatCode>
                  <c:ptCount val="2"/>
                  <c:pt idx="0">
                    <c:v>35830.679882686403</c:v>
                  </c:pt>
                  <c:pt idx="1">
                    <c:v>222690.0750350758</c:v>
                  </c:pt>
                </c:numCache>
              </c:numRef>
            </c:minus>
            <c:spPr>
              <a:noFill/>
              <a:ln w="25400" cap="flat" cmpd="sng" algn="ctr">
                <a:solidFill>
                  <a:schemeClr val="tx1"/>
                </a:solidFill>
                <a:round/>
              </a:ln>
              <a:effectLst/>
            </c:spPr>
          </c:errBars>
          <c:cat>
            <c:strRef>
              <c:f>過去結果比較!$J$27:$K$27</c:f>
              <c:strCache>
                <c:ptCount val="2"/>
                <c:pt idx="0">
                  <c:v>24h</c:v>
                </c:pt>
                <c:pt idx="1">
                  <c:v>4h</c:v>
                </c:pt>
              </c:strCache>
            </c:strRef>
          </c:cat>
          <c:val>
            <c:numRef>
              <c:f>過去結果比較!$J$32:$K$32</c:f>
              <c:numCache>
                <c:formatCode>General</c:formatCode>
                <c:ptCount val="2"/>
                <c:pt idx="0">
                  <c:v>459924.25387088669</c:v>
                </c:pt>
                <c:pt idx="1">
                  <c:v>881018.91733700328</c:v>
                </c:pt>
              </c:numCache>
            </c:numRef>
          </c:val>
          <c:extLst>
            <c:ext xmlns:c16="http://schemas.microsoft.com/office/drawing/2014/chart" uri="{C3380CC4-5D6E-409C-BE32-E72D297353CC}">
              <c16:uniqueId val="{00000000-97A9-734E-84B9-9390A1BBF8EA}"/>
            </c:ext>
          </c:extLst>
        </c:ser>
        <c:dLbls>
          <c:showLegendKey val="0"/>
          <c:showVal val="0"/>
          <c:showCatName val="0"/>
          <c:showSerName val="0"/>
          <c:showPercent val="0"/>
          <c:showBubbleSize val="0"/>
        </c:dLbls>
        <c:gapWidth val="219"/>
        <c:overlap val="-27"/>
        <c:axId val="2048995328"/>
        <c:axId val="2049676272"/>
      </c:barChart>
      <c:catAx>
        <c:axId val="204899532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ja-JP"/>
          </a:p>
        </c:txPr>
        <c:crossAx val="2049676272"/>
        <c:crosses val="autoZero"/>
        <c:auto val="1"/>
        <c:lblAlgn val="ctr"/>
        <c:lblOffset val="100"/>
        <c:noMultiLvlLbl val="0"/>
      </c:catAx>
      <c:valAx>
        <c:axId val="2049676272"/>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r>
                  <a:rPr lang="en-US"/>
                  <a:t>Luc activity [-]</a:t>
                </a:r>
                <a:endParaRPr lang="ja-JP"/>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ja-JP"/>
            </a:p>
          </c:txPr>
        </c:title>
        <c:numFmt formatCode="General" sourceLinked="1"/>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400" b="0" i="0" u="none" strike="noStrike" kern="1200" baseline="0">
                <a:solidFill>
                  <a:schemeClr val="tx1"/>
                </a:solidFill>
                <a:latin typeface="Arial" panose="020B0604020202020204" pitchFamily="34" charset="0"/>
                <a:ea typeface="+mn-ea"/>
                <a:cs typeface="Arial" panose="020B0604020202020204" pitchFamily="34" charset="0"/>
              </a:defRPr>
            </a:pPr>
            <a:endParaRPr lang="ja-JP"/>
          </a:p>
        </c:txPr>
        <c:crossAx val="2048995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solidFill>
            <a:schemeClr val="tx1"/>
          </a:solidFill>
          <a:latin typeface="Arial" panose="020B0604020202020204" pitchFamily="34" charset="0"/>
          <a:cs typeface="Arial" panose="020B0604020202020204" pitchFamily="34" charset="0"/>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492124</xdr:colOff>
      <xdr:row>11</xdr:row>
      <xdr:rowOff>150533</xdr:rowOff>
    </xdr:from>
    <xdr:to>
      <xdr:col>12</xdr:col>
      <xdr:colOff>550956</xdr:colOff>
      <xdr:row>23</xdr:row>
      <xdr:rowOff>186764</xdr:rowOff>
    </xdr:to>
    <xdr:graphicFrame macro="">
      <xdr:nvGraphicFramePr>
        <xdr:cNvPr id="3" name="グラフ 2">
          <a:extLst>
            <a:ext uri="{FF2B5EF4-FFF2-40B4-BE49-F238E27FC236}">
              <a16:creationId xmlns:a16="http://schemas.microsoft.com/office/drawing/2014/main" id="{2C629134-454B-1AFB-7D6B-3E60972BE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1953</xdr:colOff>
      <xdr:row>6</xdr:row>
      <xdr:rowOff>248138</xdr:rowOff>
    </xdr:from>
    <xdr:to>
      <xdr:col>13</xdr:col>
      <xdr:colOff>244556</xdr:colOff>
      <xdr:row>20</xdr:row>
      <xdr:rowOff>74897</xdr:rowOff>
    </xdr:to>
    <xdr:graphicFrame macro="">
      <xdr:nvGraphicFramePr>
        <xdr:cNvPr id="3" name="グラフ 2">
          <a:extLst>
            <a:ext uri="{FF2B5EF4-FFF2-40B4-BE49-F238E27FC236}">
              <a16:creationId xmlns:a16="http://schemas.microsoft.com/office/drawing/2014/main" id="{0E63D064-02BE-50FF-6382-7BD69D7E29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462484</xdr:colOff>
      <xdr:row>8</xdr:row>
      <xdr:rowOff>244693</xdr:rowOff>
    </xdr:from>
    <xdr:to>
      <xdr:col>19</xdr:col>
      <xdr:colOff>272371</xdr:colOff>
      <xdr:row>19</xdr:row>
      <xdr:rowOff>193892</xdr:rowOff>
    </xdr:to>
    <xdr:graphicFrame macro="">
      <xdr:nvGraphicFramePr>
        <xdr:cNvPr id="4" name="グラフ 3">
          <a:extLst>
            <a:ext uri="{FF2B5EF4-FFF2-40B4-BE49-F238E27FC236}">
              <a16:creationId xmlns:a16="http://schemas.microsoft.com/office/drawing/2014/main" id="{A563448B-6DC2-A55F-A80D-BD6AF59D9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761890</xdr:colOff>
      <xdr:row>21</xdr:row>
      <xdr:rowOff>165654</xdr:rowOff>
    </xdr:from>
    <xdr:to>
      <xdr:col>18</xdr:col>
      <xdr:colOff>629477</xdr:colOff>
      <xdr:row>37</xdr:row>
      <xdr:rowOff>75096</xdr:rowOff>
    </xdr:to>
    <xdr:graphicFrame macro="">
      <xdr:nvGraphicFramePr>
        <xdr:cNvPr id="5" name="グラフ 4">
          <a:extLst>
            <a:ext uri="{FF2B5EF4-FFF2-40B4-BE49-F238E27FC236}">
              <a16:creationId xmlns:a16="http://schemas.microsoft.com/office/drawing/2014/main" id="{4DC02D76-311A-B315-DA73-9E0E86D16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766844</xdr:colOff>
      <xdr:row>39</xdr:row>
      <xdr:rowOff>36444</xdr:rowOff>
    </xdr:from>
    <xdr:to>
      <xdr:col>18</xdr:col>
      <xdr:colOff>131844</xdr:colOff>
      <xdr:row>54</xdr:row>
      <xdr:rowOff>154609</xdr:rowOff>
    </xdr:to>
    <xdr:graphicFrame macro="">
      <xdr:nvGraphicFramePr>
        <xdr:cNvPr id="2" name="グラフ 1">
          <a:extLst>
            <a:ext uri="{FF2B5EF4-FFF2-40B4-BE49-F238E27FC236}">
              <a16:creationId xmlns:a16="http://schemas.microsoft.com/office/drawing/2014/main" id="{59CEC0FA-8B9A-2F12-F1EF-75C739C07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3FA70-FCAA-FE44-83A5-0006398817B8}">
  <dimension ref="A1:F26"/>
  <sheetViews>
    <sheetView zoomScale="136" workbookViewId="0">
      <selection activeCell="I25" sqref="I25"/>
    </sheetView>
  </sheetViews>
  <sheetFormatPr baseColWidth="10" defaultRowHeight="20"/>
  <sheetData>
    <row r="1" spans="1:6">
      <c r="A1">
        <v>1</v>
      </c>
      <c r="B1">
        <v>2</v>
      </c>
      <c r="C1">
        <v>3</v>
      </c>
      <c r="D1">
        <v>4</v>
      </c>
    </row>
    <row r="2" spans="1:6" ht="21" customHeight="1">
      <c r="A2" t="s">
        <v>0</v>
      </c>
      <c r="B2" t="s">
        <v>0</v>
      </c>
      <c r="C2" t="s">
        <v>1</v>
      </c>
      <c r="D2" t="s">
        <v>1</v>
      </c>
    </row>
    <row r="5" spans="1:6">
      <c r="A5" t="s">
        <v>16</v>
      </c>
    </row>
    <row r="6" spans="1:6">
      <c r="B6">
        <v>1</v>
      </c>
      <c r="C6">
        <v>2</v>
      </c>
      <c r="D6">
        <v>3</v>
      </c>
      <c r="E6">
        <v>4</v>
      </c>
    </row>
    <row r="7" spans="1:6">
      <c r="A7" t="s">
        <v>2</v>
      </c>
      <c r="B7">
        <v>4183</v>
      </c>
      <c r="C7">
        <v>130885</v>
      </c>
      <c r="D7">
        <v>225250</v>
      </c>
      <c r="E7">
        <v>249107</v>
      </c>
    </row>
    <row r="8" spans="1:6">
      <c r="A8" t="s">
        <v>3</v>
      </c>
      <c r="B8">
        <v>77762</v>
      </c>
      <c r="C8">
        <v>192369</v>
      </c>
      <c r="D8">
        <v>258763</v>
      </c>
      <c r="E8">
        <v>219611</v>
      </c>
    </row>
    <row r="9" spans="1:6">
      <c r="A9" t="s">
        <v>4</v>
      </c>
      <c r="B9">
        <v>100135</v>
      </c>
      <c r="C9">
        <v>53250</v>
      </c>
      <c r="D9">
        <v>217484</v>
      </c>
      <c r="E9">
        <v>267678</v>
      </c>
    </row>
    <row r="12" spans="1:6">
      <c r="A12" t="s">
        <v>17</v>
      </c>
    </row>
    <row r="13" spans="1:6">
      <c r="B13">
        <v>1</v>
      </c>
      <c r="C13">
        <v>2</v>
      </c>
      <c r="D13">
        <v>3</v>
      </c>
      <c r="E13">
        <v>4</v>
      </c>
      <c r="F13" t="s">
        <v>18</v>
      </c>
    </row>
    <row r="14" spans="1:6">
      <c r="A14" t="s">
        <v>2</v>
      </c>
      <c r="B14">
        <v>5.3999999999999999E-2</v>
      </c>
      <c r="C14">
        <v>0.13400000000000001</v>
      </c>
      <c r="D14">
        <v>0.109</v>
      </c>
      <c r="E14">
        <v>0.105</v>
      </c>
      <c r="F14">
        <v>4.4999999999999998E-2</v>
      </c>
    </row>
    <row r="15" spans="1:6">
      <c r="A15" t="s">
        <v>3</v>
      </c>
      <c r="B15">
        <v>7.9000000000000001E-2</v>
      </c>
      <c r="C15">
        <v>0.185</v>
      </c>
      <c r="D15">
        <v>0.113</v>
      </c>
      <c r="E15">
        <v>0.108</v>
      </c>
      <c r="F15">
        <v>4.4999999999999998E-2</v>
      </c>
    </row>
    <row r="16" spans="1:6">
      <c r="A16" t="s">
        <v>4</v>
      </c>
      <c r="B16">
        <v>0.114</v>
      </c>
      <c r="C16">
        <v>8.5000000000000006E-2</v>
      </c>
      <c r="D16">
        <v>0.11600000000000001</v>
      </c>
      <c r="E16">
        <v>0.112</v>
      </c>
      <c r="F16">
        <v>4.4999999999999998E-2</v>
      </c>
    </row>
    <row r="19" spans="1:5">
      <c r="A19" t="s">
        <v>19</v>
      </c>
    </row>
    <row r="20" spans="1:5">
      <c r="B20">
        <v>1</v>
      </c>
      <c r="C20">
        <v>2</v>
      </c>
      <c r="D20">
        <v>3</v>
      </c>
      <c r="E20">
        <v>4</v>
      </c>
    </row>
    <row r="21" spans="1:5">
      <c r="A21" t="s">
        <v>2</v>
      </c>
      <c r="B21">
        <f>B7/B14</f>
        <v>77462.962962962964</v>
      </c>
      <c r="C21">
        <f t="shared" ref="C21:E21" si="0">C7/C14</f>
        <v>976753.73134328355</v>
      </c>
      <c r="D21">
        <f t="shared" si="0"/>
        <v>2066513.7614678899</v>
      </c>
      <c r="E21">
        <f t="shared" si="0"/>
        <v>2372447.6190476189</v>
      </c>
    </row>
    <row r="22" spans="1:5">
      <c r="A22" t="s">
        <v>3</v>
      </c>
      <c r="B22">
        <f t="shared" ref="B22:E22" si="1">B8/B15</f>
        <v>984329.11392405059</v>
      </c>
      <c r="C22">
        <f t="shared" si="1"/>
        <v>1039832.4324324324</v>
      </c>
      <c r="D22">
        <f t="shared" si="1"/>
        <v>2289938.0530973449</v>
      </c>
      <c r="E22">
        <f t="shared" si="1"/>
        <v>2033435.1851851852</v>
      </c>
    </row>
    <row r="23" spans="1:5">
      <c r="A23" t="s">
        <v>4</v>
      </c>
      <c r="B23">
        <f t="shared" ref="B23:E23" si="2">B9/B16</f>
        <v>878377.19298245606</v>
      </c>
      <c r="C23">
        <f t="shared" si="2"/>
        <v>626470.5882352941</v>
      </c>
      <c r="D23">
        <f t="shared" si="2"/>
        <v>1874862.0689655172</v>
      </c>
      <c r="E23">
        <f t="shared" si="2"/>
        <v>2389982.1428571427</v>
      </c>
    </row>
    <row r="24" spans="1:5">
      <c r="A24" t="s">
        <v>20</v>
      </c>
      <c r="C24">
        <f>AVERAGE(B21:C23)</f>
        <v>763871.00364674663</v>
      </c>
      <c r="D24">
        <f>AVERAGE(D21:E23)</f>
        <v>2171196.4717701166</v>
      </c>
    </row>
    <row r="25" spans="1:5">
      <c r="A25" t="s">
        <v>6</v>
      </c>
      <c r="C25">
        <f>STDEV(B21:C23)</f>
        <v>366939.25496811338</v>
      </c>
      <c r="D25">
        <f>STDEV(D21:E23)</f>
        <v>209866.37534055626</v>
      </c>
    </row>
    <row r="26" spans="1:5">
      <c r="C26" t="s">
        <v>0</v>
      </c>
      <c r="D26" t="s">
        <v>1</v>
      </c>
    </row>
  </sheetData>
  <phoneticPr fontId="1"/>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51A2-E9BF-9143-9693-BB7379C29C06}">
  <dimension ref="A1:N10"/>
  <sheetViews>
    <sheetView workbookViewId="0">
      <selection activeCell="B3" sqref="B3:F5"/>
    </sheetView>
  </sheetViews>
  <sheetFormatPr baseColWidth="10" defaultRowHeight="20"/>
  <sheetData>
    <row r="1" spans="1:14">
      <c r="A1" t="s">
        <v>7</v>
      </c>
    </row>
    <row r="2" spans="1:14">
      <c r="B2">
        <v>1</v>
      </c>
      <c r="C2">
        <v>2</v>
      </c>
      <c r="D2">
        <v>3</v>
      </c>
      <c r="E2">
        <v>4</v>
      </c>
      <c r="F2">
        <v>5</v>
      </c>
      <c r="G2">
        <v>6</v>
      </c>
      <c r="H2">
        <v>7</v>
      </c>
      <c r="I2">
        <v>8</v>
      </c>
      <c r="J2">
        <v>9</v>
      </c>
      <c r="K2">
        <v>10</v>
      </c>
      <c r="L2">
        <v>11</v>
      </c>
      <c r="M2">
        <v>12</v>
      </c>
    </row>
    <row r="3" spans="1:14">
      <c r="A3" t="s">
        <v>8</v>
      </c>
      <c r="B3">
        <v>5.3999999999999999E-2</v>
      </c>
      <c r="C3">
        <v>0.13400000000000001</v>
      </c>
      <c r="D3">
        <v>0.109</v>
      </c>
      <c r="E3">
        <v>0.105</v>
      </c>
      <c r="F3">
        <v>4.4999999999999998E-2</v>
      </c>
      <c r="G3">
        <v>4.5999999999999999E-2</v>
      </c>
      <c r="H3">
        <v>4.5999999999999999E-2</v>
      </c>
      <c r="I3">
        <v>4.7E-2</v>
      </c>
      <c r="J3">
        <v>4.7E-2</v>
      </c>
      <c r="K3">
        <v>4.7E-2</v>
      </c>
      <c r="L3">
        <v>4.7E-2</v>
      </c>
      <c r="M3">
        <v>4.8000000000000001E-2</v>
      </c>
      <c r="N3">
        <v>450</v>
      </c>
    </row>
    <row r="4" spans="1:14">
      <c r="A4" t="s">
        <v>9</v>
      </c>
      <c r="B4">
        <v>7.9000000000000001E-2</v>
      </c>
      <c r="C4">
        <v>0.185</v>
      </c>
      <c r="D4">
        <v>0.113</v>
      </c>
      <c r="E4">
        <v>0.108</v>
      </c>
      <c r="F4">
        <v>4.4999999999999998E-2</v>
      </c>
      <c r="G4">
        <v>4.5999999999999999E-2</v>
      </c>
      <c r="H4">
        <v>3.6999999999999998E-2</v>
      </c>
      <c r="I4">
        <v>4.7E-2</v>
      </c>
      <c r="J4">
        <v>4.7E-2</v>
      </c>
      <c r="K4">
        <v>4.8000000000000001E-2</v>
      </c>
      <c r="L4">
        <v>4.7E-2</v>
      </c>
      <c r="M4">
        <v>4.7E-2</v>
      </c>
      <c r="N4">
        <v>450</v>
      </c>
    </row>
    <row r="5" spans="1:14">
      <c r="A5" t="s">
        <v>10</v>
      </c>
      <c r="B5">
        <v>0.114</v>
      </c>
      <c r="C5">
        <v>8.5000000000000006E-2</v>
      </c>
      <c r="D5">
        <v>0.11600000000000001</v>
      </c>
      <c r="E5">
        <v>0.112</v>
      </c>
      <c r="F5">
        <v>4.4999999999999998E-2</v>
      </c>
      <c r="G5">
        <v>4.7E-2</v>
      </c>
      <c r="H5">
        <v>4.7E-2</v>
      </c>
      <c r="I5">
        <v>4.8000000000000001E-2</v>
      </c>
      <c r="J5">
        <v>4.8000000000000001E-2</v>
      </c>
      <c r="K5">
        <v>4.7E-2</v>
      </c>
      <c r="L5">
        <v>4.7E-2</v>
      </c>
      <c r="M5">
        <v>4.7E-2</v>
      </c>
      <c r="N5">
        <v>450</v>
      </c>
    </row>
    <row r="6" spans="1:14">
      <c r="A6" t="s">
        <v>11</v>
      </c>
      <c r="B6">
        <v>4.7E-2</v>
      </c>
      <c r="C6">
        <v>4.8000000000000001E-2</v>
      </c>
      <c r="D6">
        <v>4.7E-2</v>
      </c>
      <c r="E6">
        <v>4.7E-2</v>
      </c>
      <c r="F6">
        <v>4.7E-2</v>
      </c>
      <c r="G6">
        <v>4.5999999999999999E-2</v>
      </c>
      <c r="H6">
        <v>4.7E-2</v>
      </c>
      <c r="I6">
        <v>4.7E-2</v>
      </c>
      <c r="J6">
        <v>4.7E-2</v>
      </c>
      <c r="K6">
        <v>4.7E-2</v>
      </c>
      <c r="L6">
        <v>4.7E-2</v>
      </c>
      <c r="M6">
        <v>4.7E-2</v>
      </c>
      <c r="N6">
        <v>450</v>
      </c>
    </row>
    <row r="7" spans="1:14">
      <c r="A7" t="s">
        <v>12</v>
      </c>
      <c r="B7">
        <v>4.7E-2</v>
      </c>
      <c r="C7">
        <v>4.8000000000000001E-2</v>
      </c>
      <c r="D7">
        <v>4.7E-2</v>
      </c>
      <c r="E7">
        <v>4.7E-2</v>
      </c>
      <c r="F7">
        <v>4.7E-2</v>
      </c>
      <c r="G7">
        <v>4.7E-2</v>
      </c>
      <c r="H7">
        <v>4.7E-2</v>
      </c>
      <c r="I7">
        <v>4.7E-2</v>
      </c>
      <c r="J7">
        <v>4.7E-2</v>
      </c>
      <c r="K7">
        <v>4.7E-2</v>
      </c>
      <c r="L7">
        <v>4.7E-2</v>
      </c>
      <c r="M7">
        <v>4.7E-2</v>
      </c>
      <c r="N7">
        <v>450</v>
      </c>
    </row>
    <row r="8" spans="1:14">
      <c r="A8" t="s">
        <v>13</v>
      </c>
      <c r="B8">
        <v>4.3999999999999997E-2</v>
      </c>
      <c r="C8">
        <v>4.7E-2</v>
      </c>
      <c r="D8">
        <v>4.7E-2</v>
      </c>
      <c r="E8">
        <v>4.8000000000000001E-2</v>
      </c>
      <c r="F8">
        <v>4.8000000000000001E-2</v>
      </c>
      <c r="G8">
        <v>4.5999999999999999E-2</v>
      </c>
      <c r="H8">
        <v>4.5999999999999999E-2</v>
      </c>
      <c r="I8">
        <v>4.9000000000000002E-2</v>
      </c>
      <c r="J8">
        <v>4.9000000000000002E-2</v>
      </c>
      <c r="K8">
        <v>4.7E-2</v>
      </c>
      <c r="L8">
        <v>4.8000000000000001E-2</v>
      </c>
      <c r="M8">
        <v>4.8000000000000001E-2</v>
      </c>
      <c r="N8">
        <v>450</v>
      </c>
    </row>
    <row r="9" spans="1:14">
      <c r="A9" t="s">
        <v>14</v>
      </c>
      <c r="B9">
        <v>4.7E-2</v>
      </c>
      <c r="C9">
        <v>0.05</v>
      </c>
      <c r="D9">
        <v>4.8000000000000001E-2</v>
      </c>
      <c r="E9">
        <v>4.8000000000000001E-2</v>
      </c>
      <c r="F9">
        <v>4.7E-2</v>
      </c>
      <c r="G9">
        <v>4.7E-2</v>
      </c>
      <c r="H9">
        <v>4.8000000000000001E-2</v>
      </c>
      <c r="I9">
        <v>4.7E-2</v>
      </c>
      <c r="J9">
        <v>4.8000000000000001E-2</v>
      </c>
      <c r="K9">
        <v>4.9000000000000002E-2</v>
      </c>
      <c r="L9">
        <v>4.7E-2</v>
      </c>
      <c r="M9">
        <v>4.9000000000000002E-2</v>
      </c>
      <c r="N9">
        <v>450</v>
      </c>
    </row>
    <row r="10" spans="1:14">
      <c r="A10" t="s">
        <v>15</v>
      </c>
      <c r="B10">
        <v>4.8000000000000001E-2</v>
      </c>
      <c r="C10">
        <v>4.7E-2</v>
      </c>
      <c r="D10">
        <v>4.7E-2</v>
      </c>
      <c r="E10">
        <v>4.7E-2</v>
      </c>
      <c r="F10">
        <v>4.7E-2</v>
      </c>
      <c r="G10">
        <v>4.8000000000000001E-2</v>
      </c>
      <c r="H10">
        <v>4.8000000000000001E-2</v>
      </c>
      <c r="I10">
        <v>5.0999999999999997E-2</v>
      </c>
      <c r="J10">
        <v>4.8000000000000001E-2</v>
      </c>
      <c r="K10">
        <v>4.7E-2</v>
      </c>
      <c r="L10">
        <v>4.9000000000000002E-2</v>
      </c>
      <c r="M10">
        <v>4.9000000000000002E-2</v>
      </c>
      <c r="N10">
        <v>450</v>
      </c>
    </row>
  </sheetData>
  <phoneticPr fontId="1"/>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B8D0F-8EC7-9544-97A6-5BBF5B14B993}">
  <dimension ref="A1:M43"/>
  <sheetViews>
    <sheetView tabSelected="1" zoomScale="114" workbookViewId="0">
      <selection activeCell="C16" sqref="C16"/>
    </sheetView>
  </sheetViews>
  <sheetFormatPr baseColWidth="10" defaultRowHeight="20"/>
  <cols>
    <col min="2" max="2" width="13.28515625" customWidth="1"/>
    <col min="3" max="3" width="13" bestFit="1" customWidth="1"/>
    <col min="6" max="7" width="13" bestFit="1" customWidth="1"/>
    <col min="10" max="13" width="13" bestFit="1" customWidth="1"/>
  </cols>
  <sheetData>
    <row r="1" spans="1:13">
      <c r="A1" t="s">
        <v>32</v>
      </c>
    </row>
    <row r="2" spans="1:13" ht="21" thickBot="1"/>
    <row r="3" spans="1:13">
      <c r="A3" s="19" t="s">
        <v>26</v>
      </c>
      <c r="B3" s="15" t="s">
        <v>25</v>
      </c>
      <c r="C3" s="3" t="s">
        <v>22</v>
      </c>
      <c r="D3" s="3" t="s">
        <v>17</v>
      </c>
      <c r="E3" s="4" t="s">
        <v>23</v>
      </c>
      <c r="G3" t="s">
        <v>27</v>
      </c>
    </row>
    <row r="4" spans="1:13">
      <c r="A4" s="5" t="s">
        <v>21</v>
      </c>
      <c r="B4" s="1">
        <v>2</v>
      </c>
      <c r="C4" s="12">
        <v>251448</v>
      </c>
      <c r="D4" s="12">
        <v>0.11</v>
      </c>
      <c r="E4" s="17">
        <v>4335310</v>
      </c>
      <c r="G4">
        <f>D4/C4</f>
        <v>4.3746619579396138E-7</v>
      </c>
      <c r="J4">
        <v>2</v>
      </c>
      <c r="K4">
        <v>3</v>
      </c>
      <c r="L4">
        <v>4</v>
      </c>
      <c r="M4">
        <v>5</v>
      </c>
    </row>
    <row r="5" spans="1:13">
      <c r="A5" s="7"/>
      <c r="B5" s="16"/>
      <c r="C5" s="2">
        <v>195328</v>
      </c>
      <c r="D5" s="2">
        <v>9.4E-2</v>
      </c>
      <c r="E5" s="18">
        <v>4650666</v>
      </c>
      <c r="G5">
        <f t="shared" ref="G5:G20" si="0">D5/C5</f>
        <v>4.8124180865006558E-7</v>
      </c>
      <c r="I5" t="s">
        <v>5</v>
      </c>
      <c r="J5">
        <f>AVERAGE(G4:G5)</f>
        <v>4.5935400222201348E-7</v>
      </c>
      <c r="K5">
        <f>AVERAGE(G6:G8)</f>
        <v>7.4345498978180394E-7</v>
      </c>
      <c r="L5">
        <f>AVERAGE(G9:G14)</f>
        <v>2.2717455904865914E-6</v>
      </c>
      <c r="M5">
        <f>AVERAGE(G15:G20)</f>
        <v>8.1890574889209881E-7</v>
      </c>
    </row>
    <row r="6" spans="1:13">
      <c r="A6" s="7"/>
      <c r="B6" s="13">
        <v>3</v>
      </c>
      <c r="C6">
        <v>879954</v>
      </c>
      <c r="D6">
        <v>0.53500000000000003</v>
      </c>
      <c r="E6" s="6">
        <v>1644773</v>
      </c>
      <c r="G6">
        <f t="shared" si="0"/>
        <v>6.0798632655797924E-7</v>
      </c>
      <c r="I6" t="s">
        <v>6</v>
      </c>
      <c r="J6">
        <f>STDEV(G4:G5)</f>
        <v>3.0954032701148288E-8</v>
      </c>
      <c r="K6">
        <f>STDEV(G6:G8)</f>
        <v>1.5715262024941574E-7</v>
      </c>
      <c r="L6">
        <f>STDEV(G9:G14)</f>
        <v>2.2698240747850303E-7</v>
      </c>
      <c r="M6">
        <f>STDEV(G15:G20)</f>
        <v>4.6732388085243524E-7</v>
      </c>
    </row>
    <row r="7" spans="1:13">
      <c r="A7" s="7"/>
      <c r="B7" s="13"/>
      <c r="C7">
        <v>180180</v>
      </c>
      <c r="D7">
        <v>0.16500000000000001</v>
      </c>
      <c r="E7" s="6">
        <v>109200</v>
      </c>
      <c r="G7">
        <f t="shared" si="0"/>
        <v>9.1575091575091579E-7</v>
      </c>
    </row>
    <row r="8" spans="1:13" ht="21" thickBot="1">
      <c r="A8" s="8"/>
      <c r="B8" s="14"/>
      <c r="C8" s="9">
        <v>1042982</v>
      </c>
      <c r="D8" s="9">
        <v>0.73699999999999999</v>
      </c>
      <c r="E8" s="10">
        <v>1415172</v>
      </c>
      <c r="G8">
        <f t="shared" si="0"/>
        <v>7.0662772703651647E-7</v>
      </c>
    </row>
    <row r="9" spans="1:13">
      <c r="A9" s="11" t="s">
        <v>24</v>
      </c>
      <c r="B9" s="15" t="s">
        <v>28</v>
      </c>
      <c r="C9" s="3">
        <v>104986</v>
      </c>
      <c r="D9" s="3">
        <v>0.23100000000000001</v>
      </c>
      <c r="E9" s="4">
        <v>454484</v>
      </c>
      <c r="G9">
        <f t="shared" si="0"/>
        <v>2.2002933724496602E-6</v>
      </c>
    </row>
    <row r="10" spans="1:13">
      <c r="A10" s="7"/>
      <c r="B10" s="13"/>
      <c r="C10">
        <v>117856</v>
      </c>
      <c r="D10">
        <v>0.26</v>
      </c>
      <c r="E10" s="6">
        <v>453292</v>
      </c>
      <c r="G10">
        <f t="shared" si="0"/>
        <v>2.2060819983708933E-6</v>
      </c>
    </row>
    <row r="11" spans="1:13">
      <c r="A11" s="7"/>
      <c r="B11" s="13"/>
      <c r="C11">
        <v>85280</v>
      </c>
      <c r="D11">
        <v>0.22800000000000001</v>
      </c>
      <c r="E11" s="6">
        <v>374035</v>
      </c>
      <c r="G11">
        <f t="shared" si="0"/>
        <v>2.6735459662288933E-6</v>
      </c>
    </row>
    <row r="12" spans="1:13">
      <c r="A12" s="7"/>
      <c r="B12" s="13" t="s">
        <v>29</v>
      </c>
      <c r="C12">
        <v>107097</v>
      </c>
      <c r="D12">
        <v>0.222</v>
      </c>
      <c r="E12" s="6">
        <v>482418</v>
      </c>
      <c r="G12">
        <f t="shared" si="0"/>
        <v>2.0728871957197683E-6</v>
      </c>
    </row>
    <row r="13" spans="1:13">
      <c r="A13" s="7"/>
      <c r="B13" s="13"/>
      <c r="C13">
        <v>120166</v>
      </c>
      <c r="D13">
        <v>0.251</v>
      </c>
      <c r="E13" s="6">
        <v>478749</v>
      </c>
      <c r="G13">
        <f t="shared" si="0"/>
        <v>2.0887771915516867E-6</v>
      </c>
    </row>
    <row r="14" spans="1:13">
      <c r="A14" s="7"/>
      <c r="B14" s="16"/>
      <c r="C14" s="2">
        <v>103814</v>
      </c>
      <c r="D14" s="2">
        <v>0.248</v>
      </c>
      <c r="E14" s="18">
        <v>418604</v>
      </c>
      <c r="G14">
        <f t="shared" si="0"/>
        <v>2.3888878185986475E-6</v>
      </c>
    </row>
    <row r="15" spans="1:13">
      <c r="A15" s="7"/>
      <c r="B15" s="1" t="s">
        <v>30</v>
      </c>
      <c r="C15" s="12">
        <v>130885</v>
      </c>
      <c r="D15" s="12">
        <v>0.13400000000000001</v>
      </c>
      <c r="E15" s="17">
        <v>976753</v>
      </c>
      <c r="G15">
        <f t="shared" si="0"/>
        <v>1.0237995186614205E-6</v>
      </c>
    </row>
    <row r="16" spans="1:13">
      <c r="A16" s="7"/>
      <c r="B16" s="13"/>
      <c r="C16">
        <v>192369</v>
      </c>
      <c r="D16">
        <v>0.185</v>
      </c>
      <c r="E16" s="6">
        <v>1039832</v>
      </c>
      <c r="G16">
        <f t="shared" si="0"/>
        <v>9.6169341214020965E-7</v>
      </c>
    </row>
    <row r="17" spans="1:11">
      <c r="A17" s="7"/>
      <c r="B17" s="13"/>
      <c r="C17">
        <v>53250</v>
      </c>
      <c r="D17">
        <v>8.5000000000000006E-2</v>
      </c>
      <c r="E17" s="6">
        <v>626470</v>
      </c>
      <c r="G17">
        <f t="shared" si="0"/>
        <v>1.5962441314553992E-6</v>
      </c>
    </row>
    <row r="18" spans="1:11">
      <c r="A18" s="7"/>
      <c r="B18" s="13" t="s">
        <v>31</v>
      </c>
      <c r="C18">
        <v>249107</v>
      </c>
      <c r="D18">
        <v>0.105</v>
      </c>
      <c r="E18" s="6">
        <v>2372447</v>
      </c>
      <c r="G18">
        <f t="shared" si="0"/>
        <v>4.2150561806773792E-7</v>
      </c>
    </row>
    <row r="19" spans="1:11">
      <c r="A19" s="7"/>
      <c r="B19" s="13"/>
      <c r="C19">
        <v>219611</v>
      </c>
      <c r="D19">
        <v>0.108</v>
      </c>
      <c r="E19" s="6">
        <v>2033435</v>
      </c>
      <c r="G19">
        <f t="shared" si="0"/>
        <v>4.9177864496769282E-7</v>
      </c>
    </row>
    <row r="20" spans="1:11" ht="21" thickBot="1">
      <c r="A20" s="8"/>
      <c r="B20" s="14"/>
      <c r="C20" s="9">
        <v>267678</v>
      </c>
      <c r="D20" s="9">
        <v>0.112</v>
      </c>
      <c r="E20" s="10">
        <v>2389982</v>
      </c>
      <c r="G20">
        <f t="shared" si="0"/>
        <v>4.1841316806013198E-7</v>
      </c>
    </row>
    <row r="23" spans="1:11">
      <c r="A23" t="s">
        <v>33</v>
      </c>
    </row>
    <row r="24" spans="1:11">
      <c r="E24" t="s">
        <v>16</v>
      </c>
    </row>
    <row r="25" spans="1:11">
      <c r="C25" t="s">
        <v>27</v>
      </c>
      <c r="F25">
        <v>1</v>
      </c>
      <c r="G25">
        <v>2</v>
      </c>
    </row>
    <row r="26" spans="1:11">
      <c r="A26">
        <v>107097</v>
      </c>
      <c r="B26">
        <v>0.222</v>
      </c>
      <c r="C26">
        <f>B26/A26</f>
        <v>2.0728871957197683E-6</v>
      </c>
      <c r="E26" t="s">
        <v>2</v>
      </c>
      <c r="F26">
        <v>4183</v>
      </c>
      <c r="G26">
        <v>130885</v>
      </c>
      <c r="I26" t="s">
        <v>27</v>
      </c>
    </row>
    <row r="27" spans="1:11">
      <c r="A27">
        <v>120166</v>
      </c>
      <c r="B27">
        <v>0.251</v>
      </c>
      <c r="C27">
        <f t="shared" ref="C27:C28" si="1">B27/A27</f>
        <v>2.0887771915516867E-6</v>
      </c>
      <c r="E27" t="s">
        <v>3</v>
      </c>
      <c r="F27">
        <v>77762</v>
      </c>
      <c r="G27">
        <v>192369</v>
      </c>
      <c r="J27" t="s">
        <v>34</v>
      </c>
      <c r="K27" t="s">
        <v>35</v>
      </c>
    </row>
    <row r="28" spans="1:11">
      <c r="A28" s="2">
        <v>103814</v>
      </c>
      <c r="B28" s="2">
        <v>0.248</v>
      </c>
      <c r="C28">
        <f t="shared" si="1"/>
        <v>2.3888878185986475E-6</v>
      </c>
      <c r="E28" t="s">
        <v>4</v>
      </c>
      <c r="F28">
        <v>100135</v>
      </c>
      <c r="G28">
        <v>53250</v>
      </c>
      <c r="I28" t="s">
        <v>5</v>
      </c>
      <c r="J28">
        <f>AVERAGE(C26:C28)</f>
        <v>2.1835174019567007E-6</v>
      </c>
      <c r="K28">
        <f>AVERAGE(G37:G39)</f>
        <v>1.1939123540856766E-6</v>
      </c>
    </row>
    <row r="29" spans="1:11">
      <c r="A29">
        <f>AVERAGE(A26:A28)</f>
        <v>110359</v>
      </c>
      <c r="B29">
        <f>AVERAGE(B26:B28)</f>
        <v>0.24033333333333332</v>
      </c>
      <c r="C29" t="s">
        <v>19</v>
      </c>
      <c r="G29">
        <f>AVERAGE(G26:G28)</f>
        <v>125501.33333333333</v>
      </c>
      <c r="I29" t="s">
        <v>6</v>
      </c>
      <c r="J29">
        <f>STDEV(C26:C28)</f>
        <v>1.780333648944761E-7</v>
      </c>
      <c r="K29">
        <f>STDEV(G37:G39)</f>
        <v>3.4981057220718197E-7</v>
      </c>
    </row>
    <row r="30" spans="1:11">
      <c r="C30">
        <f>A26/B26</f>
        <v>482418.91891891893</v>
      </c>
    </row>
    <row r="31" spans="1:11">
      <c r="C31">
        <f t="shared" ref="C31:C32" si="2">A27/B27</f>
        <v>478749.00398406375</v>
      </c>
      <c r="E31" t="s">
        <v>17</v>
      </c>
      <c r="I31" t="s">
        <v>19</v>
      </c>
    </row>
    <row r="32" spans="1:11">
      <c r="C32">
        <f t="shared" si="2"/>
        <v>418604.83870967739</v>
      </c>
      <c r="F32">
        <v>1</v>
      </c>
      <c r="G32">
        <v>2</v>
      </c>
      <c r="I32" t="s">
        <v>5</v>
      </c>
      <c r="J32">
        <f>AVERAGE(C30:C32)</f>
        <v>459924.25387088669</v>
      </c>
      <c r="K32">
        <f>AVERAGE(G41:G43)</f>
        <v>881018.91733700328</v>
      </c>
    </row>
    <row r="33" spans="5:11">
      <c r="E33" t="s">
        <v>2</v>
      </c>
      <c r="F33">
        <v>5.3999999999999999E-2</v>
      </c>
      <c r="G33">
        <v>0.13400000000000001</v>
      </c>
      <c r="I33" t="s">
        <v>6</v>
      </c>
      <c r="J33">
        <f>STDEV(C30:C32)</f>
        <v>35830.679882686403</v>
      </c>
      <c r="K33">
        <f>STDEV(G41:G43)</f>
        <v>222690.0750350758</v>
      </c>
    </row>
    <row r="34" spans="5:11">
      <c r="E34" t="s">
        <v>3</v>
      </c>
      <c r="F34">
        <v>7.9000000000000001E-2</v>
      </c>
      <c r="G34">
        <v>0.185</v>
      </c>
    </row>
    <row r="35" spans="5:11">
      <c r="E35" t="s">
        <v>4</v>
      </c>
      <c r="F35">
        <v>0.114</v>
      </c>
      <c r="G35">
        <v>8.5000000000000006E-2</v>
      </c>
    </row>
    <row r="36" spans="5:11">
      <c r="G36">
        <f>AVERAGE(G33:G35)</f>
        <v>0.13466666666666668</v>
      </c>
    </row>
    <row r="37" spans="5:11">
      <c r="E37" t="s">
        <v>27</v>
      </c>
      <c r="F37">
        <f t="shared" ref="F37:G39" si="3">F33/F26</f>
        <v>1.2909395170929955E-5</v>
      </c>
      <c r="G37">
        <f t="shared" si="3"/>
        <v>1.0237995186614205E-6</v>
      </c>
    </row>
    <row r="38" spans="5:11">
      <c r="F38">
        <f t="shared" si="3"/>
        <v>1.0159203724184049E-6</v>
      </c>
      <c r="G38">
        <f t="shared" si="3"/>
        <v>9.6169341214020965E-7</v>
      </c>
    </row>
    <row r="39" spans="5:11">
      <c r="F39">
        <f t="shared" si="3"/>
        <v>1.1384630748489539E-6</v>
      </c>
      <c r="G39">
        <f t="shared" si="3"/>
        <v>1.5962441314553992E-6</v>
      </c>
    </row>
    <row r="41" spans="5:11">
      <c r="E41" t="s">
        <v>19</v>
      </c>
      <c r="F41">
        <f>F26/F33</f>
        <v>77462.962962962964</v>
      </c>
      <c r="G41">
        <f>G26/G33</f>
        <v>976753.73134328355</v>
      </c>
    </row>
    <row r="42" spans="5:11">
      <c r="F42">
        <f t="shared" ref="F42:G43" si="4">F27/F34</f>
        <v>984329.11392405059</v>
      </c>
      <c r="G42">
        <f t="shared" si="4"/>
        <v>1039832.4324324324</v>
      </c>
    </row>
    <row r="43" spans="5:11">
      <c r="F43">
        <f t="shared" si="4"/>
        <v>878377.19298245606</v>
      </c>
      <c r="G43">
        <f t="shared" si="4"/>
        <v>626470.5882352941</v>
      </c>
    </row>
  </sheetData>
  <phoneticPr fontId="1"/>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luc</vt:lpstr>
      <vt:lpstr>b-gal</vt:lpstr>
      <vt:lpstr>過去結果比較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NAKAMURA Yusaku</dc:creator>
  <cp:lastModifiedBy>NAKAMURA Yusaku</cp:lastModifiedBy>
  <dcterms:created xsi:type="dcterms:W3CDTF">2024-06-07T04:21:37Z</dcterms:created>
  <dcterms:modified xsi:type="dcterms:W3CDTF">2024-06-19T00:07:51Z</dcterms:modified>
</cp:coreProperties>
</file>