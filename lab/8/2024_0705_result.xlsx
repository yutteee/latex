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tteee/univ/latex/研究/8/"/>
    </mc:Choice>
  </mc:AlternateContent>
  <xr:revisionPtr revIDLastSave="0" documentId="13_ncr:1_{5F7D12A5-EEB0-2B4F-BA3E-C6A3501BB60B}" xr6:coauthVersionLast="47" xr6:coauthVersionMax="47" xr10:uidLastSave="{00000000-0000-0000-0000-000000000000}"/>
  <bookViews>
    <workbookView xWindow="37240" yWindow="-10780" windowWidth="34560" windowHeight="21100" xr2:uid="{51113B79-E632-2E44-BA54-FBD9E42D8A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D15" i="1"/>
  <c r="E15" i="1"/>
  <c r="F15" i="1"/>
  <c r="G15" i="1"/>
  <c r="H15" i="1"/>
  <c r="I15" i="1"/>
  <c r="J15" i="1"/>
  <c r="K15" i="1"/>
  <c r="L15" i="1"/>
  <c r="M15" i="1"/>
  <c r="N15" i="1"/>
  <c r="C16" i="1"/>
  <c r="D16" i="1"/>
  <c r="E16" i="1"/>
  <c r="F16" i="1"/>
  <c r="G16" i="1"/>
  <c r="H16" i="1"/>
  <c r="I16" i="1"/>
  <c r="J16" i="1"/>
  <c r="K16" i="1"/>
  <c r="L16" i="1"/>
  <c r="M16" i="1"/>
  <c r="N16" i="1"/>
  <c r="C17" i="1"/>
  <c r="D17" i="1"/>
  <c r="E17" i="1"/>
  <c r="F17" i="1"/>
  <c r="G17" i="1"/>
  <c r="H17" i="1"/>
  <c r="I17" i="1"/>
  <c r="J17" i="1"/>
  <c r="K17" i="1"/>
  <c r="L17" i="1"/>
  <c r="M17" i="1"/>
  <c r="B16" i="1"/>
  <c r="B17" i="1"/>
  <c r="B15" i="1"/>
  <c r="M24" i="1" l="1"/>
  <c r="L25" i="1"/>
  <c r="L24" i="1"/>
  <c r="L23" i="1"/>
  <c r="K25" i="1"/>
  <c r="K24" i="1"/>
  <c r="K23" i="1"/>
  <c r="B23" i="1"/>
  <c r="C18" i="1"/>
  <c r="C26" i="1" s="1"/>
  <c r="C29" i="1" s="1"/>
  <c r="D23" i="1"/>
  <c r="E23" i="1"/>
  <c r="H18" i="1"/>
  <c r="H26" i="1" s="1"/>
  <c r="H29" i="1" s="1"/>
  <c r="N23" i="1"/>
  <c r="B24" i="1"/>
  <c r="C24" i="1"/>
  <c r="D24" i="1"/>
  <c r="E24" i="1"/>
  <c r="F24" i="1"/>
  <c r="G24" i="1"/>
  <c r="H24" i="1"/>
  <c r="I24" i="1"/>
  <c r="J24" i="1"/>
  <c r="N24" i="1"/>
  <c r="B25" i="1"/>
  <c r="C25" i="1"/>
  <c r="E25" i="1"/>
  <c r="F25" i="1"/>
  <c r="G25" i="1"/>
  <c r="H25" i="1"/>
  <c r="I25" i="1"/>
  <c r="M25" i="1"/>
  <c r="D25" i="1"/>
  <c r="J25" i="1"/>
  <c r="C19" i="1" l="1"/>
  <c r="C23" i="1"/>
  <c r="C27" i="1" s="1"/>
  <c r="C30" i="1" s="1"/>
  <c r="M23" i="1"/>
  <c r="M27" i="1" s="1"/>
  <c r="M30" i="1" s="1"/>
  <c r="M18" i="1"/>
  <c r="M26" i="1" s="1"/>
  <c r="M29" i="1" s="1"/>
  <c r="N18" i="1"/>
  <c r="N26" i="1" s="1"/>
  <c r="N29" i="1" s="1"/>
  <c r="J19" i="1"/>
  <c r="M19" i="1"/>
  <c r="N27" i="1"/>
  <c r="N30" i="1" s="1"/>
  <c r="D27" i="1"/>
  <c r="D30" i="1" s="1"/>
  <c r="D18" i="1"/>
  <c r="D26" i="1" s="1"/>
  <c r="D29" i="1" s="1"/>
  <c r="B18" i="1"/>
  <c r="B26" i="1" s="1"/>
  <c r="B29" i="1" s="1"/>
  <c r="L18" i="1"/>
  <c r="L26" i="1" s="1"/>
  <c r="L29" i="1" s="1"/>
  <c r="G18" i="1"/>
  <c r="G26" i="1" s="1"/>
  <c r="G29" i="1" s="1"/>
  <c r="B19" i="1"/>
  <c r="F19" i="1"/>
  <c r="N19" i="1"/>
  <c r="E27" i="1"/>
  <c r="E30" i="1" s="1"/>
  <c r="K27" i="1"/>
  <c r="K30" i="1" s="1"/>
  <c r="D19" i="1"/>
  <c r="L27" i="1"/>
  <c r="L30" i="1" s="1"/>
  <c r="B27" i="1"/>
  <c r="B30" i="1" s="1"/>
  <c r="I19" i="1"/>
  <c r="E19" i="1"/>
  <c r="J18" i="1"/>
  <c r="J26" i="1" s="1"/>
  <c r="J29" i="1" s="1"/>
  <c r="F18" i="1"/>
  <c r="F26" i="1" s="1"/>
  <c r="F29" i="1" s="1"/>
  <c r="H19" i="1"/>
  <c r="J23" i="1"/>
  <c r="J27" i="1" s="1"/>
  <c r="J30" i="1" s="1"/>
  <c r="E18" i="1"/>
  <c r="E26" i="1" s="1"/>
  <c r="E29" i="1" s="1"/>
  <c r="G19" i="1"/>
  <c r="I23" i="1"/>
  <c r="I27" i="1" s="1"/>
  <c r="I30" i="1" s="1"/>
  <c r="H23" i="1"/>
  <c r="H27" i="1" s="1"/>
  <c r="H30" i="1" s="1"/>
  <c r="F23" i="1"/>
  <c r="F27" i="1" s="1"/>
  <c r="F30" i="1" s="1"/>
  <c r="I18" i="1"/>
  <c r="I26" i="1" s="1"/>
  <c r="I29" i="1" s="1"/>
  <c r="G23" i="1"/>
  <c r="G27" i="1" s="1"/>
  <c r="G30" i="1" s="1"/>
  <c r="L19" i="1"/>
  <c r="K19" i="1"/>
  <c r="K18" i="1"/>
  <c r="K26" i="1" s="1"/>
  <c r="K29" i="1" s="1"/>
</calcChain>
</file>

<file path=xl/sharedStrings.xml><?xml version="1.0" encoding="utf-8"?>
<sst xmlns="http://schemas.openxmlformats.org/spreadsheetml/2006/main" count="40" uniqueCount="32">
  <si>
    <t>ホタル</t>
    <phoneticPr fontId="1"/>
  </si>
  <si>
    <t>n1</t>
  </si>
  <si>
    <t>n1</t>
    <phoneticPr fontId="1"/>
  </si>
  <si>
    <t>n2</t>
  </si>
  <si>
    <t>n2</t>
    <phoneticPr fontId="1"/>
  </si>
  <si>
    <t>n3</t>
  </si>
  <si>
    <t>n3</t>
    <phoneticPr fontId="1"/>
  </si>
  <si>
    <t>β-gal</t>
  </si>
  <si>
    <t>CRE-luc</t>
    <phoneticPr fontId="1"/>
  </si>
  <si>
    <t>AVE</t>
    <phoneticPr fontId="1"/>
  </si>
  <si>
    <t>STDEV</t>
    <phoneticPr fontId="1"/>
  </si>
  <si>
    <t>Reletive luc</t>
    <phoneticPr fontId="1"/>
  </si>
  <si>
    <t>*100</t>
    <phoneticPr fontId="1"/>
  </si>
  <si>
    <t>control</t>
    <phoneticPr fontId="1"/>
  </si>
  <si>
    <t>DCA only</t>
    <phoneticPr fontId="1"/>
  </si>
  <si>
    <t>QRPRGS</t>
    <phoneticPr fontId="1"/>
  </si>
  <si>
    <t>QRPRGS + DCA</t>
    <phoneticPr fontId="1"/>
  </si>
  <si>
    <t>QSKSRR</t>
    <phoneticPr fontId="1"/>
  </si>
  <si>
    <t>QSKSRR + DCA</t>
    <phoneticPr fontId="1"/>
  </si>
  <si>
    <t>QLSRRA</t>
    <phoneticPr fontId="1"/>
  </si>
  <si>
    <t>QLSRRA + DCA</t>
    <phoneticPr fontId="1"/>
  </si>
  <si>
    <t>PRPRQP</t>
    <phoneticPr fontId="1"/>
  </si>
  <si>
    <t>PRPRQP + DCA</t>
    <phoneticPr fontId="1"/>
  </si>
  <si>
    <t>VRFPLL</t>
    <phoneticPr fontId="1"/>
  </si>
  <si>
    <t>VRFPLL + DCA</t>
    <phoneticPr fontId="1"/>
  </si>
  <si>
    <t>新しく分注したDCAともともと分注してたDCAの比較</t>
    <rPh sb="0" eb="1">
      <t xml:space="preserve">アタラシク </t>
    </rPh>
    <rPh sb="3" eb="5">
      <t xml:space="preserve">ブンチュウ </t>
    </rPh>
    <rPh sb="15" eb="17">
      <t xml:space="preserve">ブンチュウ </t>
    </rPh>
    <rPh sb="24" eb="26">
      <t xml:space="preserve">ヒカク </t>
    </rPh>
    <phoneticPr fontId="1"/>
  </si>
  <si>
    <t>new</t>
    <phoneticPr fontId="1"/>
  </si>
  <si>
    <t>old</t>
    <phoneticPr fontId="1"/>
  </si>
  <si>
    <t>reletive luc</t>
    <phoneticPr fontId="1"/>
  </si>
  <si>
    <t>ave</t>
    <phoneticPr fontId="1"/>
  </si>
  <si>
    <t>stdev</t>
    <phoneticPr fontId="1"/>
  </si>
  <si>
    <t>リガンドが足りなくなって少なかった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</si>
</sst>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Sheet1!$B$30:$M$30</c:f>
                <c:numCache>
                  <c:formatCode>General</c:formatCode>
                  <c:ptCount val="12"/>
                  <c:pt idx="0">
                    <c:v>5.2254290371402359</c:v>
                  </c:pt>
                  <c:pt idx="1">
                    <c:v>15.189915402225068</c:v>
                  </c:pt>
                  <c:pt idx="2">
                    <c:v>9.8803476361860181</c:v>
                  </c:pt>
                  <c:pt idx="3">
                    <c:v>31.385706168104743</c:v>
                  </c:pt>
                  <c:pt idx="4">
                    <c:v>23.255909105997276</c:v>
                  </c:pt>
                  <c:pt idx="5">
                    <c:v>28.896330061292137</c:v>
                  </c:pt>
                  <c:pt idx="6">
                    <c:v>11.403554424968641</c:v>
                  </c:pt>
                  <c:pt idx="7">
                    <c:v>15.913594199298162</c:v>
                  </c:pt>
                  <c:pt idx="8">
                    <c:v>18.458173454560001</c:v>
                  </c:pt>
                  <c:pt idx="9">
                    <c:v>14.799966868782333</c:v>
                  </c:pt>
                  <c:pt idx="10">
                    <c:v>12.909658285258976</c:v>
                  </c:pt>
                  <c:pt idx="11">
                    <c:v>9.1972189130564139</c:v>
                  </c:pt>
                </c:numCache>
              </c:numRef>
            </c:plus>
            <c:minus>
              <c:numRef>
                <c:f>Sheet1!$B$30:$M$30</c:f>
                <c:numCache>
                  <c:formatCode>General</c:formatCode>
                  <c:ptCount val="12"/>
                  <c:pt idx="0">
                    <c:v>5.2254290371402359</c:v>
                  </c:pt>
                  <c:pt idx="1">
                    <c:v>15.189915402225068</c:v>
                  </c:pt>
                  <c:pt idx="2">
                    <c:v>9.8803476361860181</c:v>
                  </c:pt>
                  <c:pt idx="3">
                    <c:v>31.385706168104743</c:v>
                  </c:pt>
                  <c:pt idx="4">
                    <c:v>23.255909105997276</c:v>
                  </c:pt>
                  <c:pt idx="5">
                    <c:v>28.896330061292137</c:v>
                  </c:pt>
                  <c:pt idx="6">
                    <c:v>11.403554424968641</c:v>
                  </c:pt>
                  <c:pt idx="7">
                    <c:v>15.913594199298162</c:v>
                  </c:pt>
                  <c:pt idx="8">
                    <c:v>18.458173454560001</c:v>
                  </c:pt>
                  <c:pt idx="9">
                    <c:v>14.799966868782333</c:v>
                  </c:pt>
                  <c:pt idx="10">
                    <c:v>12.909658285258976</c:v>
                  </c:pt>
                  <c:pt idx="11">
                    <c:v>9.1972189130564139</c:v>
                  </c:pt>
                </c:numCache>
              </c:numRef>
            </c:minus>
            <c:spPr>
              <a:noFill/>
              <a:ln w="254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Sheet1!$B$22:$M$22</c:f>
              <c:strCache>
                <c:ptCount val="12"/>
                <c:pt idx="0">
                  <c:v>control</c:v>
                </c:pt>
                <c:pt idx="1">
                  <c:v>DCA only</c:v>
                </c:pt>
                <c:pt idx="2">
                  <c:v>QRPRGS</c:v>
                </c:pt>
                <c:pt idx="3">
                  <c:v>QRPRGS + DCA</c:v>
                </c:pt>
                <c:pt idx="4">
                  <c:v>QSKSRR</c:v>
                </c:pt>
                <c:pt idx="5">
                  <c:v>QSKSRR + DCA</c:v>
                </c:pt>
                <c:pt idx="6">
                  <c:v>QLSRRA</c:v>
                </c:pt>
                <c:pt idx="7">
                  <c:v>QLSRRA + DCA</c:v>
                </c:pt>
                <c:pt idx="8">
                  <c:v>PRPRQP</c:v>
                </c:pt>
                <c:pt idx="9">
                  <c:v>PRPRQP + DCA</c:v>
                </c:pt>
                <c:pt idx="10">
                  <c:v>VRFPLL</c:v>
                </c:pt>
                <c:pt idx="11">
                  <c:v>VRFPLL + DCA</c:v>
                </c:pt>
              </c:strCache>
            </c:strRef>
          </c:cat>
          <c:val>
            <c:numRef>
              <c:f>Sheet1!$B$29:$M$29</c:f>
              <c:numCache>
                <c:formatCode>General</c:formatCode>
                <c:ptCount val="12"/>
                <c:pt idx="0">
                  <c:v>-5.7561563522771655E-8</c:v>
                </c:pt>
                <c:pt idx="1">
                  <c:v>99.999999979393081</c:v>
                </c:pt>
                <c:pt idx="2">
                  <c:v>19.186321302997005</c:v>
                </c:pt>
                <c:pt idx="3">
                  <c:v>153.25035921005531</c:v>
                </c:pt>
                <c:pt idx="4">
                  <c:v>12.207730317219582</c:v>
                </c:pt>
                <c:pt idx="5">
                  <c:v>146.48204556468235</c:v>
                </c:pt>
                <c:pt idx="6">
                  <c:v>32.140966737114482</c:v>
                </c:pt>
                <c:pt idx="7">
                  <c:v>144.07460564889598</c:v>
                </c:pt>
                <c:pt idx="8">
                  <c:v>36.623627916124221</c:v>
                </c:pt>
                <c:pt idx="9">
                  <c:v>171.15942006570896</c:v>
                </c:pt>
                <c:pt idx="10">
                  <c:v>33.020816260535618</c:v>
                </c:pt>
                <c:pt idx="11">
                  <c:v>188.79703945980287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67-4F41-99DB-1BAF951F7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5225423"/>
        <c:axId val="1295412271"/>
      </c:barChart>
      <c:catAx>
        <c:axId val="1295225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95412271"/>
        <c:crosses val="autoZero"/>
        <c:auto val="1"/>
        <c:lblAlgn val="ctr"/>
        <c:lblOffset val="100"/>
        <c:noMultiLvlLbl val="0"/>
      </c:catAx>
      <c:valAx>
        <c:axId val="1295412271"/>
        <c:scaling>
          <c:orientation val="minMax"/>
          <c:max val="2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Relative Luc activity [%]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95225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Sheet1!$B$37:$C$37</c:f>
                <c:numCache>
                  <c:formatCode>General</c:formatCode>
                  <c:ptCount val="2"/>
                  <c:pt idx="0">
                    <c:v>15.1899154</c:v>
                  </c:pt>
                  <c:pt idx="1">
                    <c:v>20.466205500000001</c:v>
                  </c:pt>
                </c:numCache>
              </c:numRef>
            </c:plus>
            <c:minus>
              <c:numRef>
                <c:f>Sheet1!$B$37:$C$37</c:f>
                <c:numCache>
                  <c:formatCode>General</c:formatCode>
                  <c:ptCount val="2"/>
                  <c:pt idx="0">
                    <c:v>15.1899154</c:v>
                  </c:pt>
                  <c:pt idx="1">
                    <c:v>20.466205500000001</c:v>
                  </c:pt>
                </c:numCache>
              </c:numRef>
            </c:minus>
            <c:spPr>
              <a:noFill/>
              <a:ln w="254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Sheet1!$B$35:$C$35</c:f>
              <c:strCache>
                <c:ptCount val="2"/>
                <c:pt idx="0">
                  <c:v>new</c:v>
                </c:pt>
                <c:pt idx="1">
                  <c:v>old</c:v>
                </c:pt>
              </c:strCache>
            </c:strRef>
          </c:cat>
          <c:val>
            <c:numRef>
              <c:f>Sheet1!$B$36:$C$36</c:f>
              <c:numCache>
                <c:formatCode>General</c:formatCode>
                <c:ptCount val="2"/>
                <c:pt idx="0">
                  <c:v>100</c:v>
                </c:pt>
                <c:pt idx="1">
                  <c:v>82.560374400000001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C-DF4D-8840-239502580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4472351"/>
        <c:axId val="814474063"/>
      </c:barChart>
      <c:catAx>
        <c:axId val="81447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14474063"/>
        <c:crosses val="autoZero"/>
        <c:auto val="1"/>
        <c:lblAlgn val="ctr"/>
        <c:lblOffset val="100"/>
        <c:noMultiLvlLbl val="0"/>
      </c:catAx>
      <c:valAx>
        <c:axId val="8144740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400"/>
                  <a:t>Relative Luc activity [%]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1447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363413</xdr:colOff>
      <xdr:row>14</xdr:row>
      <xdr:rowOff>245734</xdr:rowOff>
    </xdr:from>
    <xdr:to>
      <xdr:col>23</xdr:col>
      <xdr:colOff>824163</xdr:colOff>
      <xdr:row>31</xdr:row>
      <xdr:rowOff>16710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9D0900F-5063-23B0-1004-CFC29B1103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323181</xdr:colOff>
      <xdr:row>32</xdr:row>
      <xdr:rowOff>174458</xdr:rowOff>
    </xdr:from>
    <xdr:to>
      <xdr:col>8</xdr:col>
      <xdr:colOff>529389</xdr:colOff>
      <xdr:row>43</xdr:row>
      <xdr:rowOff>212558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9B10D416-5E86-5714-B832-E2FB90D07D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9F8C0-CC5E-E44E-9059-FA7ADDFFBD70}">
  <dimension ref="A1:O37"/>
  <sheetViews>
    <sheetView tabSelected="1" topLeftCell="G3" zoomScale="95" zoomScaleNormal="82" workbookViewId="0">
      <selection activeCell="A3" sqref="A3"/>
    </sheetView>
  </sheetViews>
  <sheetFormatPr baseColWidth="10" defaultRowHeight="20"/>
  <cols>
    <col min="2" max="2" width="13.85546875" bestFit="1" customWidth="1"/>
  </cols>
  <sheetData>
    <row r="1" spans="1:15">
      <c r="A1" t="s">
        <v>0</v>
      </c>
    </row>
    <row r="2" spans="1:15">
      <c r="A2" s="1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</row>
    <row r="3" spans="1:15">
      <c r="A3" s="1" t="s">
        <v>1</v>
      </c>
      <c r="B3" s="1">
        <v>678</v>
      </c>
      <c r="C3" s="1">
        <v>3392</v>
      </c>
      <c r="D3" s="1">
        <v>1489</v>
      </c>
      <c r="E3" s="1">
        <v>4457</v>
      </c>
      <c r="F3" s="1">
        <v>1616</v>
      </c>
      <c r="G3" s="1">
        <v>5589</v>
      </c>
      <c r="H3" s="1">
        <v>2130</v>
      </c>
      <c r="I3" s="1">
        <v>4844</v>
      </c>
      <c r="J3" s="1">
        <v>1640</v>
      </c>
      <c r="K3" s="1">
        <v>5278</v>
      </c>
      <c r="L3" s="1">
        <v>1623</v>
      </c>
      <c r="M3" s="1">
        <v>5644</v>
      </c>
      <c r="N3" s="1">
        <v>3286.8</v>
      </c>
    </row>
    <row r="4" spans="1:15">
      <c r="A4" s="1" t="s">
        <v>3</v>
      </c>
      <c r="B4" s="1">
        <v>957</v>
      </c>
      <c r="C4" s="1">
        <v>3852</v>
      </c>
      <c r="D4" s="1">
        <v>1706</v>
      </c>
      <c r="E4" s="1">
        <v>5695</v>
      </c>
      <c r="F4" s="1">
        <v>472</v>
      </c>
      <c r="G4" s="1">
        <v>3856</v>
      </c>
      <c r="H4" s="1">
        <v>1544</v>
      </c>
      <c r="I4" s="1">
        <v>5190</v>
      </c>
      <c r="J4" s="1">
        <v>1900</v>
      </c>
      <c r="K4" s="1">
        <v>5433</v>
      </c>
      <c r="L4" s="1">
        <v>1785</v>
      </c>
      <c r="M4" s="1">
        <v>6426</v>
      </c>
      <c r="N4" s="1">
        <v>2327.6</v>
      </c>
    </row>
    <row r="5" spans="1:15">
      <c r="A5" s="1" t="s">
        <v>5</v>
      </c>
      <c r="B5" s="1">
        <v>763</v>
      </c>
      <c r="C5" s="1">
        <v>2736</v>
      </c>
      <c r="D5" s="1">
        <v>1212</v>
      </c>
      <c r="E5" s="1">
        <v>4394</v>
      </c>
      <c r="F5" s="1">
        <v>1601</v>
      </c>
      <c r="G5" s="1">
        <v>4772</v>
      </c>
      <c r="H5" s="1">
        <v>1684</v>
      </c>
      <c r="I5" s="1">
        <v>4329</v>
      </c>
      <c r="J5" s="1">
        <v>2640</v>
      </c>
      <c r="K5" s="1">
        <v>5854</v>
      </c>
      <c r="L5" s="1">
        <v>2187</v>
      </c>
      <c r="M5" s="1">
        <v>5925</v>
      </c>
      <c r="N5" s="1">
        <v>4258</v>
      </c>
    </row>
    <row r="7" spans="1:15">
      <c r="A7" s="1" t="s">
        <v>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>
      <c r="A8" s="1"/>
      <c r="B8" s="1">
        <v>1</v>
      </c>
      <c r="C8" s="1">
        <v>2</v>
      </c>
      <c r="D8" s="1">
        <v>3</v>
      </c>
      <c r="E8" s="1">
        <v>4</v>
      </c>
      <c r="F8" s="1">
        <v>5</v>
      </c>
      <c r="G8" s="1">
        <v>6</v>
      </c>
      <c r="H8" s="1">
        <v>7</v>
      </c>
      <c r="I8" s="1">
        <v>8</v>
      </c>
      <c r="J8" s="1">
        <v>9</v>
      </c>
      <c r="K8" s="1">
        <v>10</v>
      </c>
      <c r="L8" s="1">
        <v>11</v>
      </c>
      <c r="M8" s="1">
        <v>12</v>
      </c>
      <c r="N8" s="1">
        <v>13</v>
      </c>
      <c r="O8" s="1"/>
    </row>
    <row r="9" spans="1:15">
      <c r="A9" s="1" t="s">
        <v>1</v>
      </c>
      <c r="B9" s="1">
        <v>6.3E-2</v>
      </c>
      <c r="C9" s="1">
        <v>7.0000000000000007E-2</v>
      </c>
      <c r="D9" s="1">
        <v>7.4999999999999997E-2</v>
      </c>
      <c r="E9" s="1">
        <v>7.8E-2</v>
      </c>
      <c r="F9" s="1">
        <v>7.9000000000000001E-2</v>
      </c>
      <c r="G9" s="1">
        <v>7.8E-2</v>
      </c>
      <c r="H9" s="1">
        <v>7.5999999999999998E-2</v>
      </c>
      <c r="I9" s="1">
        <v>7.5999999999999998E-2</v>
      </c>
      <c r="J9" s="1">
        <v>8.1000000000000003E-2</v>
      </c>
      <c r="K9" s="1">
        <v>0.08</v>
      </c>
      <c r="L9" s="1">
        <v>0.08</v>
      </c>
      <c r="M9" s="1">
        <v>7.5999999999999998E-2</v>
      </c>
      <c r="N9" s="1">
        <v>7.1999999999999995E-2</v>
      </c>
      <c r="O9" s="1"/>
    </row>
    <row r="10" spans="1:15">
      <c r="A10" s="1" t="s">
        <v>3</v>
      </c>
      <c r="B10" s="1">
        <v>6.7000000000000004E-2</v>
      </c>
      <c r="C10" s="1">
        <v>7.5999999999999998E-2</v>
      </c>
      <c r="D10" s="1">
        <v>7.6999999999999999E-2</v>
      </c>
      <c r="E10" s="1">
        <v>7.3999999999999996E-2</v>
      </c>
      <c r="F10" s="1">
        <v>6.0999999999999999E-2</v>
      </c>
      <c r="G10" s="1">
        <v>7.3999999999999996E-2</v>
      </c>
      <c r="H10" s="1">
        <v>7.3999999999999996E-2</v>
      </c>
      <c r="I10" s="1">
        <v>7.9000000000000001E-2</v>
      </c>
      <c r="J10" s="1">
        <v>8.3000000000000004E-2</v>
      </c>
      <c r="K10" s="1">
        <v>7.6999999999999999E-2</v>
      </c>
      <c r="L10" s="1">
        <v>7.9000000000000001E-2</v>
      </c>
      <c r="M10" s="1">
        <v>0.08</v>
      </c>
      <c r="N10" s="1">
        <v>6.5000000000000002E-2</v>
      </c>
      <c r="O10" s="1"/>
    </row>
    <row r="11" spans="1:15">
      <c r="A11" s="1" t="s">
        <v>5</v>
      </c>
      <c r="B11" s="1">
        <v>5.8999999999999997E-2</v>
      </c>
      <c r="C11" s="1">
        <v>6.7000000000000004E-2</v>
      </c>
      <c r="D11" s="1">
        <v>7.8E-2</v>
      </c>
      <c r="E11" s="1">
        <v>7.2999999999999995E-2</v>
      </c>
      <c r="F11" s="1">
        <v>7.1999999999999995E-2</v>
      </c>
      <c r="G11" s="1">
        <v>7.4999999999999997E-2</v>
      </c>
      <c r="H11" s="1">
        <v>7.6999999999999999E-2</v>
      </c>
      <c r="I11" s="1">
        <v>7.8E-2</v>
      </c>
      <c r="J11" s="1">
        <v>8.2000000000000003E-2</v>
      </c>
      <c r="K11" s="1">
        <v>7.6999999999999999E-2</v>
      </c>
      <c r="L11" s="1">
        <v>7.5999999999999998E-2</v>
      </c>
      <c r="M11" s="1">
        <v>7.8E-2</v>
      </c>
      <c r="N11" s="2">
        <v>5.7000000000000002E-2</v>
      </c>
      <c r="O11" s="1" t="s">
        <v>31</v>
      </c>
    </row>
    <row r="13" spans="1:15">
      <c r="A13" t="s">
        <v>8</v>
      </c>
    </row>
    <row r="14" spans="1:15">
      <c r="B14">
        <v>1</v>
      </c>
      <c r="C14">
        <v>2</v>
      </c>
      <c r="D14">
        <v>3</v>
      </c>
      <c r="E14">
        <v>4</v>
      </c>
      <c r="F14">
        <v>5</v>
      </c>
      <c r="G14">
        <v>6</v>
      </c>
      <c r="H14">
        <v>7</v>
      </c>
      <c r="I14">
        <v>8</v>
      </c>
      <c r="J14">
        <v>9</v>
      </c>
      <c r="K14">
        <v>10</v>
      </c>
      <c r="L14">
        <v>11</v>
      </c>
      <c r="M14">
        <v>12</v>
      </c>
      <c r="N14">
        <v>13</v>
      </c>
    </row>
    <row r="15" spans="1:15">
      <c r="A15" t="s">
        <v>2</v>
      </c>
      <c r="B15">
        <f>B3/B9</f>
        <v>10761.904761904761</v>
      </c>
      <c r="C15">
        <f t="shared" ref="C15:N15" si="0">C3/C9</f>
        <v>48457.142857142855</v>
      </c>
      <c r="D15">
        <f t="shared" si="0"/>
        <v>19853.333333333336</v>
      </c>
      <c r="E15">
        <f t="shared" si="0"/>
        <v>57141.025641025641</v>
      </c>
      <c r="F15">
        <f t="shared" si="0"/>
        <v>20455.696202531646</v>
      </c>
      <c r="G15">
        <f t="shared" si="0"/>
        <v>71653.846153846156</v>
      </c>
      <c r="H15">
        <f t="shared" si="0"/>
        <v>28026.315789473683</v>
      </c>
      <c r="I15">
        <f t="shared" si="0"/>
        <v>63736.84210526316</v>
      </c>
      <c r="J15">
        <f t="shared" si="0"/>
        <v>20246.913580246914</v>
      </c>
      <c r="K15">
        <f t="shared" si="0"/>
        <v>65975</v>
      </c>
      <c r="L15">
        <f t="shared" si="0"/>
        <v>20287.5</v>
      </c>
      <c r="M15">
        <f t="shared" si="0"/>
        <v>74263.15789473684</v>
      </c>
      <c r="N15">
        <f t="shared" si="0"/>
        <v>45650.000000000007</v>
      </c>
    </row>
    <row r="16" spans="1:15">
      <c r="A16" t="s">
        <v>4</v>
      </c>
      <c r="B16">
        <f t="shared" ref="B16:N17" si="1">B4/B10</f>
        <v>14283.582089552237</v>
      </c>
      <c r="C16">
        <f t="shared" si="1"/>
        <v>50684.210526315794</v>
      </c>
      <c r="D16">
        <f t="shared" si="1"/>
        <v>22155.844155844155</v>
      </c>
      <c r="E16">
        <f t="shared" si="1"/>
        <v>76959.459459459467</v>
      </c>
      <c r="F16">
        <f t="shared" si="1"/>
        <v>7737.7049180327867</v>
      </c>
      <c r="G16">
        <f t="shared" si="1"/>
        <v>52108.108108108114</v>
      </c>
      <c r="H16">
        <f t="shared" si="1"/>
        <v>20864.864864864867</v>
      </c>
      <c r="I16">
        <f t="shared" si="1"/>
        <v>65696.202531645569</v>
      </c>
      <c r="J16">
        <f t="shared" si="1"/>
        <v>22891.566265060239</v>
      </c>
      <c r="K16">
        <f t="shared" si="1"/>
        <v>70558.441558441555</v>
      </c>
      <c r="L16">
        <f t="shared" si="1"/>
        <v>22594.936708860758</v>
      </c>
      <c r="M16">
        <f t="shared" si="1"/>
        <v>80325</v>
      </c>
      <c r="N16">
        <f t="shared" si="1"/>
        <v>35809.230769230766</v>
      </c>
    </row>
    <row r="17" spans="1:14">
      <c r="A17" t="s">
        <v>6</v>
      </c>
      <c r="B17">
        <f t="shared" si="1"/>
        <v>12932.203389830509</v>
      </c>
      <c r="C17">
        <f t="shared" si="1"/>
        <v>40835.820895522389</v>
      </c>
      <c r="D17">
        <f t="shared" si="1"/>
        <v>15538.461538461539</v>
      </c>
      <c r="E17">
        <f t="shared" si="1"/>
        <v>60191.780821917811</v>
      </c>
      <c r="F17">
        <f t="shared" si="1"/>
        <v>22236.111111111113</v>
      </c>
      <c r="G17">
        <f t="shared" si="1"/>
        <v>63626.666666666672</v>
      </c>
      <c r="H17">
        <f t="shared" si="1"/>
        <v>21870.129870129869</v>
      </c>
      <c r="I17">
        <f t="shared" si="1"/>
        <v>55500</v>
      </c>
      <c r="J17">
        <f t="shared" si="1"/>
        <v>32195.121951219509</v>
      </c>
      <c r="K17">
        <f t="shared" si="1"/>
        <v>76025.974025974021</v>
      </c>
      <c r="L17">
        <f t="shared" si="1"/>
        <v>28776.315789473683</v>
      </c>
      <c r="M17">
        <f t="shared" si="1"/>
        <v>75961.538461538468</v>
      </c>
    </row>
    <row r="18" spans="1:14">
      <c r="A18" t="s">
        <v>9</v>
      </c>
      <c r="B18">
        <f>AVERAGE(B15:B17)</f>
        <v>12659.230080429168</v>
      </c>
      <c r="C18">
        <f t="shared" ref="C18:N18" si="2">AVERAGE(C15:C17)</f>
        <v>46659.058092993684</v>
      </c>
      <c r="D18">
        <f t="shared" si="2"/>
        <v>19182.546342546342</v>
      </c>
      <c r="E18">
        <f t="shared" si="2"/>
        <v>64764.088640800968</v>
      </c>
      <c r="F18">
        <f t="shared" si="2"/>
        <v>16809.837410558514</v>
      </c>
      <c r="G18">
        <f t="shared" si="2"/>
        <v>62462.873642873637</v>
      </c>
      <c r="H18">
        <f t="shared" si="2"/>
        <v>23587.103508156139</v>
      </c>
      <c r="I18">
        <f t="shared" si="2"/>
        <v>61644.348212302917</v>
      </c>
      <c r="J18">
        <f t="shared" si="2"/>
        <v>25111.200598842221</v>
      </c>
      <c r="K18">
        <f t="shared" si="2"/>
        <v>70853.13852813853</v>
      </c>
      <c r="L18">
        <f t="shared" si="2"/>
        <v>23886.250832778143</v>
      </c>
      <c r="M18">
        <f t="shared" si="2"/>
        <v>76849.898785425103</v>
      </c>
      <c r="N18">
        <f t="shared" si="2"/>
        <v>40729.61538461539</v>
      </c>
    </row>
    <row r="19" spans="1:14">
      <c r="A19" t="s">
        <v>10</v>
      </c>
      <c r="B19">
        <f>STDEV(B15:B17)</f>
        <v>1776.6368848897416</v>
      </c>
      <c r="C19">
        <f t="shared" ref="C19:N19" si="3">STDEV(C15:C17)</f>
        <v>5164.5451101020317</v>
      </c>
      <c r="D19">
        <f t="shared" si="3"/>
        <v>3359.3012021053146</v>
      </c>
      <c r="E19">
        <f t="shared" si="3"/>
        <v>10671.086113740963</v>
      </c>
      <c r="F19">
        <f t="shared" si="3"/>
        <v>7906.9690958754172</v>
      </c>
      <c r="G19">
        <f t="shared" si="3"/>
        <v>9824.7025191517423</v>
      </c>
      <c r="H19">
        <f t="shared" si="3"/>
        <v>3877.1888903757335</v>
      </c>
      <c r="I19">
        <f t="shared" si="3"/>
        <v>5410.5946563793559</v>
      </c>
      <c r="J19">
        <f t="shared" si="3"/>
        <v>6275.7472264920507</v>
      </c>
      <c r="K19">
        <f t="shared" si="3"/>
        <v>5031.963279442979</v>
      </c>
      <c r="L19">
        <f t="shared" si="3"/>
        <v>4389.2616123758216</v>
      </c>
      <c r="M19">
        <f t="shared" si="3"/>
        <v>3127.0386112226533</v>
      </c>
      <c r="N19">
        <f t="shared" si="3"/>
        <v>6958.4746551688368</v>
      </c>
    </row>
    <row r="21" spans="1:14">
      <c r="A21" t="s">
        <v>11</v>
      </c>
    </row>
    <row r="22" spans="1:14"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s="1" t="s">
        <v>20</v>
      </c>
      <c r="J22" t="s">
        <v>21</v>
      </c>
      <c r="K22" t="s">
        <v>22</v>
      </c>
      <c r="L22" t="s">
        <v>23</v>
      </c>
      <c r="M22" t="s">
        <v>24</v>
      </c>
      <c r="N22">
        <v>13</v>
      </c>
    </row>
    <row r="23" spans="1:14">
      <c r="A23" t="s">
        <v>2</v>
      </c>
      <c r="B23">
        <f>(B15-12659.2301)/(46659.0581-12659.2301)</f>
        <v>-5.580396871699584E-2</v>
      </c>
      <c r="C23">
        <f t="shared" ref="C23:N23" si="4">(C15-12659.2301)/(46659.0581-12659.2301)</f>
        <v>1.052885113334775</v>
      </c>
      <c r="D23">
        <f t="shared" si="4"/>
        <v>0.21159234197694574</v>
      </c>
      <c r="E23">
        <f t="shared" si="4"/>
        <v>1.3082947225799388</v>
      </c>
      <c r="F23">
        <f t="shared" si="4"/>
        <v>0.22930898657874518</v>
      </c>
      <c r="G23">
        <f t="shared" si="4"/>
        <v>1.7351445440796394</v>
      </c>
      <c r="H23">
        <f t="shared" si="4"/>
        <v>0.45197539497769468</v>
      </c>
      <c r="I23">
        <f t="shared" si="4"/>
        <v>1.5022903058586989</v>
      </c>
      <c r="J23">
        <f t="shared" si="4"/>
        <v>0.22316829015272996</v>
      </c>
      <c r="K23">
        <f t="shared" si="4"/>
        <v>1.5681188122481089</v>
      </c>
      <c r="L23">
        <f t="shared" si="4"/>
        <v>0.22436201441960232</v>
      </c>
      <c r="M23">
        <f t="shared" si="4"/>
        <v>1.8118893952856714</v>
      </c>
      <c r="N23">
        <f t="shared" si="4"/>
        <v>0.97032167045080364</v>
      </c>
    </row>
    <row r="24" spans="1:14">
      <c r="A24" t="s">
        <v>4</v>
      </c>
      <c r="B24">
        <f t="shared" ref="B24:N24" si="5">(B16-12659.2301)/(46659.0581-12659.2301)</f>
        <v>4.7775300203055045E-2</v>
      </c>
      <c r="C24">
        <f t="shared" si="5"/>
        <v>1.1183874349692531</v>
      </c>
      <c r="D24">
        <f t="shared" si="5"/>
        <v>0.27931359111123016</v>
      </c>
      <c r="E24">
        <f t="shared" si="5"/>
        <v>1.8911927836652427</v>
      </c>
      <c r="F24">
        <f t="shared" si="5"/>
        <v>-0.14475147291825163</v>
      </c>
      <c r="G24">
        <f t="shared" si="5"/>
        <v>1.1602669874714693</v>
      </c>
      <c r="H24">
        <f t="shared" si="5"/>
        <v>0.24134341988038485</v>
      </c>
      <c r="I24">
        <f t="shared" si="5"/>
        <v>1.5599188452260866</v>
      </c>
      <c r="J24">
        <f t="shared" si="5"/>
        <v>0.30095258614426629</v>
      </c>
      <c r="K24">
        <f t="shared" si="5"/>
        <v>1.7029265988769575</v>
      </c>
      <c r="L24">
        <f t="shared" si="5"/>
        <v>0.29222814329710012</v>
      </c>
      <c r="M24">
        <f t="shared" si="5"/>
        <v>1.9901797709094291</v>
      </c>
      <c r="N24">
        <f t="shared" si="5"/>
        <v>0.68088581710562668</v>
      </c>
    </row>
    <row r="25" spans="1:14">
      <c r="A25" t="s">
        <v>6</v>
      </c>
      <c r="B25">
        <f t="shared" ref="B25:N25" si="6">(B17-12659.2301)/(46659.0581-12659.2301)</f>
        <v>8.0286667870939892E-3</v>
      </c>
      <c r="C25">
        <f t="shared" si="6"/>
        <v>0.82872745107776391</v>
      </c>
      <c r="D25">
        <f t="shared" si="6"/>
        <v>8.468370600173443E-2</v>
      </c>
      <c r="E25">
        <f t="shared" si="6"/>
        <v>1.3980232700564781</v>
      </c>
      <c r="F25">
        <f t="shared" si="6"/>
        <v>0.28167439585609411</v>
      </c>
      <c r="G25">
        <f t="shared" si="6"/>
        <v>1.4990498353893633</v>
      </c>
      <c r="H25">
        <f t="shared" si="6"/>
        <v>0.27091018725535521</v>
      </c>
      <c r="I25">
        <f t="shared" si="6"/>
        <v>1.260029018382093</v>
      </c>
      <c r="J25">
        <f t="shared" si="6"/>
        <v>0.57458796118673039</v>
      </c>
      <c r="K25">
        <f t="shared" si="6"/>
        <v>1.8637371908462013</v>
      </c>
      <c r="L25">
        <f t="shared" si="6"/>
        <v>0.47403433009936646</v>
      </c>
      <c r="M25">
        <f t="shared" si="6"/>
        <v>1.8618420175989852</v>
      </c>
    </row>
    <row r="26" spans="1:14">
      <c r="A26" t="s">
        <v>9</v>
      </c>
      <c r="B26">
        <f t="shared" ref="B26:N26" si="7">(B18-12659.2301)/(46659.0581-12659.2301)</f>
        <v>-5.7561563522771653E-10</v>
      </c>
      <c r="C26">
        <f t="shared" si="7"/>
        <v>0.99999999979393084</v>
      </c>
      <c r="D26">
        <f t="shared" si="7"/>
        <v>0.19186321302997006</v>
      </c>
      <c r="E26">
        <f t="shared" si="7"/>
        <v>1.5325035921005532</v>
      </c>
      <c r="F26">
        <f t="shared" si="7"/>
        <v>0.12207730317219583</v>
      </c>
      <c r="G26">
        <f t="shared" si="7"/>
        <v>1.4648204556468236</v>
      </c>
      <c r="H26">
        <f t="shared" si="7"/>
        <v>0.32140966737114485</v>
      </c>
      <c r="I26">
        <f t="shared" si="7"/>
        <v>1.4407460564889598</v>
      </c>
      <c r="J26">
        <f t="shared" si="7"/>
        <v>0.36623627916124224</v>
      </c>
      <c r="K26">
        <f t="shared" si="7"/>
        <v>1.7115942006570894</v>
      </c>
      <c r="L26">
        <f t="shared" si="7"/>
        <v>0.33020816260535618</v>
      </c>
      <c r="M26">
        <f t="shared" si="7"/>
        <v>1.8879703945980286</v>
      </c>
      <c r="N26">
        <f t="shared" si="7"/>
        <v>0.82560374377821522</v>
      </c>
    </row>
    <row r="27" spans="1:14">
      <c r="A27" t="s">
        <v>10</v>
      </c>
      <c r="B27">
        <f>STDEV(B23:B25)</f>
        <v>5.2254290371402362E-2</v>
      </c>
      <c r="C27">
        <f t="shared" ref="C27:N27" si="8">STDEV(C23:C25)</f>
        <v>0.15189915402225068</v>
      </c>
      <c r="D27">
        <f t="shared" si="8"/>
        <v>9.8803476361860182E-2</v>
      </c>
      <c r="E27">
        <f t="shared" si="8"/>
        <v>0.31385706168104743</v>
      </c>
      <c r="F27">
        <f t="shared" si="8"/>
        <v>0.23255909105997274</v>
      </c>
      <c r="G27">
        <f t="shared" si="8"/>
        <v>0.28896330061292136</v>
      </c>
      <c r="H27">
        <f t="shared" si="8"/>
        <v>0.11403554424968641</v>
      </c>
      <c r="I27">
        <f t="shared" si="8"/>
        <v>0.15913594199298162</v>
      </c>
      <c r="J27">
        <f t="shared" si="8"/>
        <v>0.18458173454560001</v>
      </c>
      <c r="K27">
        <f t="shared" si="8"/>
        <v>0.14799966868782333</v>
      </c>
      <c r="L27">
        <f t="shared" si="8"/>
        <v>0.12909658285258976</v>
      </c>
      <c r="M27">
        <f t="shared" si="8"/>
        <v>9.1972189130564139E-2</v>
      </c>
      <c r="N27">
        <f t="shared" si="8"/>
        <v>0.20466205461889056</v>
      </c>
    </row>
    <row r="29" spans="1:14">
      <c r="A29" t="s">
        <v>12</v>
      </c>
      <c r="B29">
        <f>B26*100</f>
        <v>-5.7561563522771655E-8</v>
      </c>
      <c r="C29">
        <f t="shared" ref="C29:N30" si="9">C26*100</f>
        <v>99.999999979393081</v>
      </c>
      <c r="D29">
        <f t="shared" si="9"/>
        <v>19.186321302997005</v>
      </c>
      <c r="E29">
        <f t="shared" si="9"/>
        <v>153.25035921005531</v>
      </c>
      <c r="F29">
        <f t="shared" si="9"/>
        <v>12.207730317219582</v>
      </c>
      <c r="G29">
        <f t="shared" si="9"/>
        <v>146.48204556468235</v>
      </c>
      <c r="H29">
        <f t="shared" si="9"/>
        <v>32.140966737114482</v>
      </c>
      <c r="I29">
        <f t="shared" si="9"/>
        <v>144.07460564889598</v>
      </c>
      <c r="J29">
        <f t="shared" si="9"/>
        <v>36.623627916124221</v>
      </c>
      <c r="K29">
        <f t="shared" si="9"/>
        <v>171.15942006570896</v>
      </c>
      <c r="L29">
        <f t="shared" si="9"/>
        <v>33.020816260535618</v>
      </c>
      <c r="M29">
        <f t="shared" si="9"/>
        <v>188.79703945980287</v>
      </c>
      <c r="N29">
        <f t="shared" si="9"/>
        <v>82.560374377821518</v>
      </c>
    </row>
    <row r="30" spans="1:14">
      <c r="B30">
        <f>B27*100</f>
        <v>5.2254290371402359</v>
      </c>
      <c r="C30">
        <f t="shared" si="9"/>
        <v>15.189915402225068</v>
      </c>
      <c r="D30">
        <f t="shared" si="9"/>
        <v>9.8803476361860181</v>
      </c>
      <c r="E30">
        <f t="shared" si="9"/>
        <v>31.385706168104743</v>
      </c>
      <c r="F30">
        <f t="shared" si="9"/>
        <v>23.255909105997276</v>
      </c>
      <c r="G30">
        <f t="shared" si="9"/>
        <v>28.896330061292137</v>
      </c>
      <c r="H30">
        <f t="shared" si="9"/>
        <v>11.403554424968641</v>
      </c>
      <c r="I30">
        <f t="shared" si="9"/>
        <v>15.913594199298162</v>
      </c>
      <c r="J30">
        <f t="shared" si="9"/>
        <v>18.458173454560001</v>
      </c>
      <c r="K30">
        <f t="shared" si="9"/>
        <v>14.799966868782333</v>
      </c>
      <c r="L30">
        <f t="shared" si="9"/>
        <v>12.909658285258976</v>
      </c>
      <c r="M30">
        <f t="shared" si="9"/>
        <v>9.1972189130564139</v>
      </c>
      <c r="N30">
        <f t="shared" si="9"/>
        <v>20.466205461889057</v>
      </c>
    </row>
    <row r="33" spans="1:3">
      <c r="A33" t="s">
        <v>25</v>
      </c>
    </row>
    <row r="34" spans="1:3">
      <c r="A34" t="s">
        <v>28</v>
      </c>
    </row>
    <row r="35" spans="1:3">
      <c r="B35" t="s">
        <v>26</v>
      </c>
      <c r="C35" t="s">
        <v>27</v>
      </c>
    </row>
    <row r="36" spans="1:3">
      <c r="A36" t="s">
        <v>29</v>
      </c>
      <c r="B36" s="1">
        <v>100</v>
      </c>
      <c r="C36" s="1">
        <v>82.560374400000001</v>
      </c>
    </row>
    <row r="37" spans="1:3">
      <c r="A37" t="s">
        <v>30</v>
      </c>
      <c r="B37" s="1">
        <v>15.1899154</v>
      </c>
      <c r="C37" s="1">
        <v>20.466205500000001</v>
      </c>
    </row>
  </sheetData>
  <phoneticPr fontId="1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NAKAMURA Yusaku</dc:creator>
  <cp:lastModifiedBy>NAKAMURA Yusaku</cp:lastModifiedBy>
  <dcterms:created xsi:type="dcterms:W3CDTF">2024-07-05T01:33:23Z</dcterms:created>
  <dcterms:modified xsi:type="dcterms:W3CDTF">2024-07-09T02:36:22Z</dcterms:modified>
</cp:coreProperties>
</file>