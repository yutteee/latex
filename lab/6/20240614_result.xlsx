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teee/univ/latex/研究/6/"/>
    </mc:Choice>
  </mc:AlternateContent>
  <xr:revisionPtr revIDLastSave="0" documentId="13_ncr:1_{048F2331-7932-8143-A8C0-0E7DC556977D}" xr6:coauthVersionLast="47" xr6:coauthVersionMax="47" xr10:uidLastSave="{00000000-0000-0000-0000-000000000000}"/>
  <bookViews>
    <workbookView xWindow="34540" yWindow="-10780" windowWidth="38400" windowHeight="21100" xr2:uid="{3FB74A0B-0E8C-1E4E-829D-459E10279529}"/>
  </bookViews>
  <sheets>
    <sheet name="Sheet1" sheetId="1" r:id="rId1"/>
    <sheet name="415" sheetId="2" r:id="rId2"/>
    <sheet name="450" sheetId="3" r:id="rId3"/>
  </sheets>
  <definedNames>
    <definedName name="_xlchart.v1.0" hidden="1">Sheet1!$B$19:$E$19</definedName>
    <definedName name="_xlchart.v1.1" hidden="1">Sheet1!$Q$22:$T$22</definedName>
    <definedName name="_xlchart.v1.2" hidden="1">Sheet1!$B$19:$E$19</definedName>
    <definedName name="_xlchart.v1.3" hidden="1">Sheet1!$Q$22:$T$22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B6" i="1"/>
  <c r="C20" i="1"/>
  <c r="D20" i="1"/>
  <c r="E20" i="1"/>
  <c r="B20" i="1"/>
  <c r="C19" i="1"/>
  <c r="D19" i="1"/>
  <c r="E19" i="1"/>
  <c r="B19" i="1"/>
  <c r="B17" i="1"/>
  <c r="C17" i="1"/>
  <c r="D17" i="1"/>
  <c r="E17" i="1"/>
  <c r="B18" i="1"/>
  <c r="C18" i="1"/>
  <c r="D18" i="1"/>
  <c r="E18" i="1"/>
  <c r="C16" i="1"/>
  <c r="D16" i="1"/>
  <c r="E16" i="1"/>
  <c r="B16" i="1"/>
</calcChain>
</file>

<file path=xl/sharedStrings.xml><?xml version="1.0" encoding="utf-8"?>
<sst xmlns="http://schemas.openxmlformats.org/spreadsheetml/2006/main" count="52" uniqueCount="24">
  <si>
    <t>ホタルルシフェラーゼアッセイ</t>
    <phoneticPr fontId="1"/>
  </si>
  <si>
    <t>n1</t>
    <phoneticPr fontId="1"/>
  </si>
  <si>
    <t>n2</t>
    <phoneticPr fontId="1"/>
  </si>
  <si>
    <t>n3</t>
    <phoneticPr fontId="1"/>
  </si>
  <si>
    <t>A</t>
  </si>
  <si>
    <t>Read 1:415</t>
  </si>
  <si>
    <t>Read 2:655</t>
  </si>
  <si>
    <t>B</t>
  </si>
  <si>
    <t>C</t>
  </si>
  <si>
    <t>D</t>
  </si>
  <si>
    <t>E</t>
  </si>
  <si>
    <t>F</t>
  </si>
  <si>
    <t>G</t>
  </si>
  <si>
    <t>H</t>
  </si>
  <si>
    <t>β-gal</t>
    <phoneticPr fontId="1"/>
  </si>
  <si>
    <t>control</t>
    <phoneticPr fontId="1"/>
  </si>
  <si>
    <t>Luc activity</t>
    <phoneticPr fontId="1"/>
  </si>
  <si>
    <t>ave</t>
    <phoneticPr fontId="1"/>
  </si>
  <si>
    <t>補正</t>
    <rPh sb="0" eb="2">
      <t xml:space="preserve">ホセイ </t>
    </rPh>
    <phoneticPr fontId="1"/>
  </si>
  <si>
    <t>1h</t>
    <phoneticPr fontId="1"/>
  </si>
  <si>
    <t>2h</t>
    <phoneticPr fontId="1"/>
  </si>
  <si>
    <t>3h</t>
    <phoneticPr fontId="1"/>
  </si>
  <si>
    <t>5h</t>
    <phoneticPr fontId="1"/>
  </si>
  <si>
    <t>Ave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</si>
</sst>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Sheet1!$B$20:$E$20</c:f>
                <c:numCache>
                  <c:formatCode>General</c:formatCode>
                  <c:ptCount val="4"/>
                  <c:pt idx="0">
                    <c:v>46744.179498309568</c:v>
                  </c:pt>
                  <c:pt idx="1">
                    <c:v>49615.405629628236</c:v>
                  </c:pt>
                  <c:pt idx="2">
                    <c:v>31034.044792404162</c:v>
                  </c:pt>
                  <c:pt idx="3">
                    <c:v>136691.77663598795</c:v>
                  </c:pt>
                </c:numCache>
              </c:numRef>
            </c:plus>
            <c:minus>
              <c:numRef>
                <c:f>Sheet1!$B$20:$E$20</c:f>
                <c:numCache>
                  <c:formatCode>General</c:formatCode>
                  <c:ptCount val="4"/>
                  <c:pt idx="0">
                    <c:v>46744.179498309568</c:v>
                  </c:pt>
                  <c:pt idx="1">
                    <c:v>49615.405629628236</c:v>
                  </c:pt>
                  <c:pt idx="2">
                    <c:v>31034.044792404162</c:v>
                  </c:pt>
                  <c:pt idx="3">
                    <c:v>136691.77663598795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Sheet1!$B$15:$E$15</c:f>
              <c:strCache>
                <c:ptCount val="4"/>
                <c:pt idx="0">
                  <c:v>1h</c:v>
                </c:pt>
                <c:pt idx="1">
                  <c:v>2h</c:v>
                </c:pt>
                <c:pt idx="2">
                  <c:v>3h</c:v>
                </c:pt>
                <c:pt idx="3">
                  <c:v>5h</c:v>
                </c:pt>
              </c:strCache>
            </c:strRef>
          </c:cat>
          <c:val>
            <c:numRef>
              <c:f>Sheet1!$B$19:$E$19</c:f>
              <c:numCache>
                <c:formatCode>General</c:formatCode>
                <c:ptCount val="4"/>
                <c:pt idx="0">
                  <c:v>308885.19701443746</c:v>
                </c:pt>
                <c:pt idx="1">
                  <c:v>758237.16409640771</c:v>
                </c:pt>
                <c:pt idx="2">
                  <c:v>1110500.1418742521</c:v>
                </c:pt>
                <c:pt idx="3">
                  <c:v>1374964.1813554734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6-ED48-ACF9-7F4AAF383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6203312"/>
        <c:axId val="2081170384"/>
      </c:barChart>
      <c:catAx>
        <c:axId val="1606203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DCA</a:t>
                </a:r>
                <a:r>
                  <a:rPr lang="ja-JP" altLang="en-US"/>
                  <a:t>添加後の待ち時間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081170384"/>
        <c:crosses val="autoZero"/>
        <c:auto val="1"/>
        <c:lblAlgn val="ctr"/>
        <c:lblOffset val="100"/>
        <c:noMultiLvlLbl val="0"/>
      </c:catAx>
      <c:valAx>
        <c:axId val="2081170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Luc</a:t>
                </a:r>
                <a:r>
                  <a:rPr lang="en-US" altLang="ja-JP" baseline="0"/>
                  <a:t> activity [-]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062033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Sheet1!$B$6:$E$6</c:f>
              <c:numCache>
                <c:formatCode>General</c:formatCode>
                <c:ptCount val="4"/>
                <c:pt idx="0">
                  <c:v>62549.666666666664</c:v>
                </c:pt>
                <c:pt idx="1">
                  <c:v>163457.66666666666</c:v>
                </c:pt>
                <c:pt idx="2">
                  <c:v>265226.33333333331</c:v>
                </c:pt>
                <c:pt idx="3">
                  <c:v>362457.66666666669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1-2F4B-8144-5C45D9E80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543440"/>
        <c:axId val="2081104000"/>
      </c:barChart>
      <c:catAx>
        <c:axId val="1207543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1104000"/>
        <c:crosses val="autoZero"/>
        <c:auto val="1"/>
        <c:lblAlgn val="ctr"/>
        <c:lblOffset val="100"/>
        <c:noMultiLvlLbl val="0"/>
      </c:catAx>
      <c:valAx>
        <c:axId val="208110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754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Sheet1!$B$20:$E$20</c:f>
                <c:numCache>
                  <c:formatCode>General</c:formatCode>
                  <c:ptCount val="4"/>
                  <c:pt idx="0">
                    <c:v>46744.179498309568</c:v>
                  </c:pt>
                  <c:pt idx="1">
                    <c:v>49615.405629628236</c:v>
                  </c:pt>
                  <c:pt idx="2">
                    <c:v>31034.044792404162</c:v>
                  </c:pt>
                  <c:pt idx="3">
                    <c:v>136691.77663598795</c:v>
                  </c:pt>
                </c:numCache>
              </c:numRef>
            </c:plus>
            <c:minus>
              <c:numRef>
                <c:f>Sheet1!$B$20:$E$20</c:f>
                <c:numCache>
                  <c:formatCode>General</c:formatCode>
                  <c:ptCount val="4"/>
                  <c:pt idx="0">
                    <c:v>46744.179498309568</c:v>
                  </c:pt>
                  <c:pt idx="1">
                    <c:v>49615.405629628236</c:v>
                  </c:pt>
                  <c:pt idx="2">
                    <c:v>31034.044792404162</c:v>
                  </c:pt>
                  <c:pt idx="3">
                    <c:v>136691.77663598795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Sheet1!$Q$22:$T$22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cat>
          <c:val>
            <c:numRef>
              <c:f>Sheet1!$B$19:$E$19</c:f>
              <c:numCache>
                <c:formatCode>General</c:formatCode>
                <c:ptCount val="4"/>
                <c:pt idx="0">
                  <c:v>308885.19701443746</c:v>
                </c:pt>
                <c:pt idx="1">
                  <c:v>758237.16409640771</c:v>
                </c:pt>
                <c:pt idx="2">
                  <c:v>1110500.1418742521</c:v>
                </c:pt>
                <c:pt idx="3">
                  <c:v>1374964.1813554734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9-D740-8764-54E8E15A9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06203312"/>
        <c:axId val="2081170384"/>
      </c:barChart>
      <c:dateAx>
        <c:axId val="1606203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DCA</a:t>
                </a:r>
                <a:r>
                  <a:rPr lang="ja-JP" altLang="en-US"/>
                  <a:t>添加後の待ち時間</a:t>
                </a:r>
                <a:r>
                  <a:rPr lang="en-US" altLang="ja-JP"/>
                  <a:t> [h]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081170384"/>
        <c:crosses val="autoZero"/>
        <c:auto val="0"/>
        <c:lblOffset val="100"/>
        <c:baseTimeUnit val="days"/>
      </c:dateAx>
      <c:valAx>
        <c:axId val="2081170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Luc</a:t>
                </a:r>
                <a:r>
                  <a:rPr lang="en-US" altLang="ja-JP" baseline="0"/>
                  <a:t> activity [-]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062033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Sheet1!$B$20:$E$20</c:f>
                <c:numCache>
                  <c:formatCode>General</c:formatCode>
                  <c:ptCount val="4"/>
                  <c:pt idx="0">
                    <c:v>46744.179498309568</c:v>
                  </c:pt>
                  <c:pt idx="1">
                    <c:v>49615.405629628236</c:v>
                  </c:pt>
                  <c:pt idx="2">
                    <c:v>31034.044792404162</c:v>
                  </c:pt>
                  <c:pt idx="3">
                    <c:v>136691.77663598795</c:v>
                  </c:pt>
                </c:numCache>
              </c:numRef>
            </c:plus>
            <c:minus>
              <c:numRef>
                <c:f>Sheet1!$B$20:$E$20</c:f>
                <c:numCache>
                  <c:formatCode>General</c:formatCode>
                  <c:ptCount val="4"/>
                  <c:pt idx="0">
                    <c:v>46744.179498309568</c:v>
                  </c:pt>
                  <c:pt idx="1">
                    <c:v>49615.405629628236</c:v>
                  </c:pt>
                  <c:pt idx="2">
                    <c:v>31034.044792404162</c:v>
                  </c:pt>
                  <c:pt idx="3">
                    <c:v>136691.77663598795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Sheet1!$Q$22:$T$22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cat>
          <c:val>
            <c:numRef>
              <c:f>Sheet1!$B$19:$E$19</c:f>
              <c:numCache>
                <c:formatCode>General</c:formatCode>
                <c:ptCount val="4"/>
                <c:pt idx="0">
                  <c:v>308885.19701443746</c:v>
                </c:pt>
                <c:pt idx="1">
                  <c:v>758237.16409640771</c:v>
                </c:pt>
                <c:pt idx="2">
                  <c:v>1110500.1418742521</c:v>
                </c:pt>
                <c:pt idx="3">
                  <c:v>1374964.1813554734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73-A246-8A4B-5E8E9AC53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203312"/>
        <c:axId val="2081170384"/>
      </c:lineChart>
      <c:dateAx>
        <c:axId val="1606203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DCA</a:t>
                </a:r>
                <a:r>
                  <a:rPr lang="ja-JP" altLang="en-US"/>
                  <a:t>添加後の待ち時間</a:t>
                </a:r>
                <a:r>
                  <a:rPr lang="en-US" altLang="ja-JP"/>
                  <a:t> [h]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081170384"/>
        <c:crosses val="autoZero"/>
        <c:auto val="0"/>
        <c:lblOffset val="100"/>
        <c:baseTimeUnit val="days"/>
      </c:dateAx>
      <c:valAx>
        <c:axId val="2081170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Luc</a:t>
                </a:r>
                <a:r>
                  <a:rPr lang="en-US" altLang="ja-JP" baseline="0"/>
                  <a:t> activity [-]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062033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398046</xdr:colOff>
      <xdr:row>6</xdr:row>
      <xdr:rowOff>40339</xdr:rowOff>
    </xdr:from>
    <xdr:to>
      <xdr:col>13</xdr:col>
      <xdr:colOff>933468</xdr:colOff>
      <xdr:row>20</xdr:row>
      <xdr:rowOff>2317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260BE4D-4759-5293-C00D-E32F4F10D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918084</xdr:colOff>
      <xdr:row>20</xdr:row>
      <xdr:rowOff>203782</xdr:rowOff>
    </xdr:from>
    <xdr:to>
      <xdr:col>9</xdr:col>
      <xdr:colOff>739702</xdr:colOff>
      <xdr:row>31</xdr:row>
      <xdr:rowOff>174310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39554D5-417B-90E2-73DF-D9E72BA9F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591373</xdr:colOff>
      <xdr:row>5</xdr:row>
      <xdr:rowOff>242366</xdr:rowOff>
    </xdr:from>
    <xdr:to>
      <xdr:col>21</xdr:col>
      <xdr:colOff>176719</xdr:colOff>
      <xdr:row>19</xdr:row>
      <xdr:rowOff>204344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F26A8E6-1CE2-1241-A3F6-1546C6371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407176</xdr:colOff>
      <xdr:row>5</xdr:row>
      <xdr:rowOff>87252</xdr:rowOff>
    </xdr:from>
    <xdr:to>
      <xdr:col>27</xdr:col>
      <xdr:colOff>942598</xdr:colOff>
      <xdr:row>19</xdr:row>
      <xdr:rowOff>49230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F7EA9EE-9364-2342-BC69-84DF61146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6EDB-87D2-3A48-BD3F-6BF5319DF1B7}">
  <dimension ref="A1:T22"/>
  <sheetViews>
    <sheetView tabSelected="1" topLeftCell="K1" zoomScale="131" workbookViewId="0">
      <selection activeCell="P22" sqref="P22"/>
    </sheetView>
  </sheetViews>
  <sheetFormatPr baseColWidth="10" defaultRowHeight="20"/>
  <sheetData>
    <row r="1" spans="1:6">
      <c r="A1" t="s">
        <v>0</v>
      </c>
    </row>
    <row r="2" spans="1:6">
      <c r="B2">
        <v>1</v>
      </c>
      <c r="C2">
        <v>2</v>
      </c>
      <c r="D2">
        <v>3</v>
      </c>
      <c r="E2">
        <v>5</v>
      </c>
    </row>
    <row r="3" spans="1:6">
      <c r="A3" t="s">
        <v>1</v>
      </c>
      <c r="B3">
        <v>62246</v>
      </c>
      <c r="C3">
        <v>155580</v>
      </c>
      <c r="D3">
        <v>283335</v>
      </c>
      <c r="E3">
        <v>383181</v>
      </c>
    </row>
    <row r="4" spans="1:6">
      <c r="A4" t="s">
        <v>2</v>
      </c>
      <c r="B4">
        <v>56336</v>
      </c>
      <c r="C4">
        <v>177738</v>
      </c>
      <c r="D4">
        <v>277813</v>
      </c>
      <c r="E4">
        <v>321807</v>
      </c>
    </row>
    <row r="5" spans="1:6">
      <c r="A5" t="s">
        <v>3</v>
      </c>
      <c r="B5">
        <v>69067</v>
      </c>
      <c r="C5">
        <v>157055</v>
      </c>
      <c r="D5">
        <v>234531</v>
      </c>
      <c r="E5">
        <v>382385</v>
      </c>
    </row>
    <row r="6" spans="1:6">
      <c r="A6" t="s">
        <v>23</v>
      </c>
      <c r="B6">
        <f>AVERAGE(B3:B5)</f>
        <v>62549.666666666664</v>
      </c>
      <c r="C6">
        <f t="shared" ref="C6:E6" si="0">AVERAGE(C3:C5)</f>
        <v>163457.66666666666</v>
      </c>
      <c r="D6">
        <f t="shared" si="0"/>
        <v>265226.33333333331</v>
      </c>
      <c r="E6">
        <f t="shared" si="0"/>
        <v>362457.66666666669</v>
      </c>
    </row>
    <row r="8" spans="1:6">
      <c r="A8" t="s">
        <v>14</v>
      </c>
    </row>
    <row r="9" spans="1:6">
      <c r="B9">
        <v>1</v>
      </c>
      <c r="C9">
        <v>2</v>
      </c>
      <c r="D9">
        <v>3</v>
      </c>
      <c r="E9">
        <v>5</v>
      </c>
      <c r="F9" t="s">
        <v>15</v>
      </c>
    </row>
    <row r="10" spans="1:6">
      <c r="A10" t="s">
        <v>1</v>
      </c>
      <c r="B10" s="1">
        <v>0.185</v>
      </c>
      <c r="C10" s="1">
        <v>0.221</v>
      </c>
      <c r="D10" s="1">
        <v>0.249</v>
      </c>
      <c r="E10" s="1">
        <v>0.26</v>
      </c>
      <c r="F10" s="1">
        <v>5.8000000000000003E-2</v>
      </c>
    </row>
    <row r="11" spans="1:6">
      <c r="A11" t="s">
        <v>2</v>
      </c>
      <c r="B11">
        <v>0.221</v>
      </c>
      <c r="C11">
        <v>0.23100000000000001</v>
      </c>
      <c r="D11">
        <v>0.25800000000000001</v>
      </c>
      <c r="E11">
        <v>0.26400000000000001</v>
      </c>
      <c r="F11">
        <v>7.0000000000000007E-2</v>
      </c>
    </row>
    <row r="12" spans="1:6">
      <c r="A12" t="s">
        <v>3</v>
      </c>
      <c r="B12">
        <v>0.20599999999999999</v>
      </c>
      <c r="C12">
        <v>0.19600000000000001</v>
      </c>
      <c r="D12">
        <v>0.21</v>
      </c>
      <c r="E12">
        <v>0.26700000000000002</v>
      </c>
      <c r="F12">
        <v>5.7000000000000002E-2</v>
      </c>
    </row>
    <row r="14" spans="1:6">
      <c r="A14" t="s">
        <v>16</v>
      </c>
    </row>
    <row r="15" spans="1:6">
      <c r="B15" t="s">
        <v>19</v>
      </c>
      <c r="C15" t="s">
        <v>20</v>
      </c>
      <c r="D15" t="s">
        <v>21</v>
      </c>
      <c r="E15" t="s">
        <v>22</v>
      </c>
    </row>
    <row r="16" spans="1:6">
      <c r="A16" t="s">
        <v>1</v>
      </c>
      <c r="B16" s="1">
        <f>B3/B10</f>
        <v>336464.86486486485</v>
      </c>
      <c r="C16" s="1">
        <f t="shared" ref="C16:E16" si="1">C3/C10</f>
        <v>703981.90045248868</v>
      </c>
      <c r="D16" s="1">
        <f t="shared" si="1"/>
        <v>1137891.5662650603</v>
      </c>
      <c r="E16" s="1">
        <f t="shared" si="1"/>
        <v>1473773.0769230768</v>
      </c>
    </row>
    <row r="17" spans="1:20">
      <c r="A17" t="s">
        <v>2</v>
      </c>
      <c r="B17" s="1">
        <f t="shared" ref="B17:E17" si="2">B4/B11</f>
        <v>254914.02714932128</v>
      </c>
      <c r="C17" s="1">
        <f t="shared" si="2"/>
        <v>769428.57142857136</v>
      </c>
      <c r="D17" s="1">
        <f t="shared" si="2"/>
        <v>1076794.5736434108</v>
      </c>
      <c r="E17" s="1">
        <f t="shared" si="2"/>
        <v>1218965.9090909089</v>
      </c>
    </row>
    <row r="18" spans="1:20">
      <c r="A18" t="s">
        <v>3</v>
      </c>
      <c r="B18" s="1">
        <f t="shared" ref="B18:E18" si="3">B5/B12</f>
        <v>335276.6990291262</v>
      </c>
      <c r="C18" s="1">
        <f t="shared" si="3"/>
        <v>801301.0204081632</v>
      </c>
      <c r="D18" s="1">
        <f t="shared" si="3"/>
        <v>1116814.2857142857</v>
      </c>
      <c r="E18" s="1">
        <f t="shared" si="3"/>
        <v>1432153.5580524344</v>
      </c>
    </row>
    <row r="19" spans="1:20">
      <c r="A19" t="s">
        <v>17</v>
      </c>
      <c r="B19">
        <f>AVERAGE(B16:B18)</f>
        <v>308885.19701443746</v>
      </c>
      <c r="C19">
        <f t="shared" ref="C19:E19" si="4">AVERAGE(C16:C18)</f>
        <v>758237.16409640771</v>
      </c>
      <c r="D19">
        <f t="shared" si="4"/>
        <v>1110500.1418742521</v>
      </c>
      <c r="E19">
        <f t="shared" si="4"/>
        <v>1374964.1813554734</v>
      </c>
    </row>
    <row r="20" spans="1:20">
      <c r="A20" t="s">
        <v>18</v>
      </c>
      <c r="B20">
        <f>STDEV(B16:B18)</f>
        <v>46744.179498309568</v>
      </c>
      <c r="C20">
        <f t="shared" ref="C20:E20" si="5">STDEV(C16:C18)</f>
        <v>49615.405629628236</v>
      </c>
      <c r="D20">
        <f t="shared" si="5"/>
        <v>31034.044792404162</v>
      </c>
      <c r="E20">
        <f t="shared" si="5"/>
        <v>136691.77663598795</v>
      </c>
    </row>
    <row r="22" spans="1:20">
      <c r="Q22">
        <v>1</v>
      </c>
      <c r="R22">
        <v>2</v>
      </c>
      <c r="S22">
        <v>3</v>
      </c>
      <c r="T22">
        <v>5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2EC5-CE82-D54C-9F06-FEC62E6FA6AD}">
  <dimension ref="A1:N17"/>
  <sheetViews>
    <sheetView workbookViewId="0">
      <selection activeCell="B6" sqref="B6:F6"/>
    </sheetView>
  </sheetViews>
  <sheetFormatPr baseColWidth="10" defaultRowHeight="20"/>
  <sheetData>
    <row r="1" spans="1:1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4">
      <c r="A2" t="s">
        <v>4</v>
      </c>
      <c r="B2">
        <v>0.185</v>
      </c>
      <c r="C2">
        <v>0.221</v>
      </c>
      <c r="D2">
        <v>0.249</v>
      </c>
      <c r="E2">
        <v>0.26</v>
      </c>
      <c r="F2">
        <v>5.8000000000000003E-2</v>
      </c>
      <c r="G2">
        <v>0.05</v>
      </c>
      <c r="H2">
        <v>4.9000000000000002E-2</v>
      </c>
      <c r="I2">
        <v>5.1999999999999998E-2</v>
      </c>
      <c r="J2">
        <v>5.0999999999999997E-2</v>
      </c>
      <c r="K2">
        <v>5.0999999999999997E-2</v>
      </c>
      <c r="L2">
        <v>0.05</v>
      </c>
      <c r="M2">
        <v>0.05</v>
      </c>
      <c r="N2" t="s">
        <v>5</v>
      </c>
    </row>
    <row r="3" spans="1:14">
      <c r="B3">
        <v>3.7999999999999999E-2</v>
      </c>
      <c r="C3">
        <v>3.9E-2</v>
      </c>
      <c r="D3">
        <v>0.04</v>
      </c>
      <c r="E3">
        <v>3.9E-2</v>
      </c>
      <c r="F3">
        <v>3.6999999999999998E-2</v>
      </c>
      <c r="G3">
        <v>4.2000000000000003E-2</v>
      </c>
      <c r="H3">
        <v>4.2000000000000003E-2</v>
      </c>
      <c r="I3">
        <v>4.3999999999999997E-2</v>
      </c>
      <c r="J3">
        <v>4.3999999999999997E-2</v>
      </c>
      <c r="K3">
        <v>4.3999999999999997E-2</v>
      </c>
      <c r="L3">
        <v>4.2999999999999997E-2</v>
      </c>
      <c r="M3">
        <v>4.2000000000000003E-2</v>
      </c>
      <c r="N3" t="s">
        <v>6</v>
      </c>
    </row>
    <row r="4" spans="1:14">
      <c r="A4" t="s">
        <v>7</v>
      </c>
      <c r="B4">
        <v>0.221</v>
      </c>
      <c r="C4">
        <v>0.23100000000000001</v>
      </c>
      <c r="D4">
        <v>0.25800000000000001</v>
      </c>
      <c r="E4">
        <v>0.26400000000000001</v>
      </c>
      <c r="F4">
        <v>7.0000000000000007E-2</v>
      </c>
      <c r="G4">
        <v>5.0999999999999997E-2</v>
      </c>
      <c r="H4">
        <v>4.9000000000000002E-2</v>
      </c>
      <c r="I4">
        <v>5.0999999999999997E-2</v>
      </c>
      <c r="J4">
        <v>5.1999999999999998E-2</v>
      </c>
      <c r="K4">
        <v>5.0999999999999997E-2</v>
      </c>
      <c r="L4">
        <v>0.05</v>
      </c>
      <c r="M4">
        <v>0.05</v>
      </c>
      <c r="N4" t="s">
        <v>5</v>
      </c>
    </row>
    <row r="5" spans="1:14">
      <c r="B5">
        <v>4.2000000000000003E-2</v>
      </c>
      <c r="C5">
        <v>3.9E-2</v>
      </c>
      <c r="D5">
        <v>4.5999999999999999E-2</v>
      </c>
      <c r="E5">
        <v>3.9E-2</v>
      </c>
      <c r="F5">
        <v>4.5999999999999999E-2</v>
      </c>
      <c r="G5">
        <v>4.2999999999999997E-2</v>
      </c>
      <c r="H5">
        <v>4.2000000000000003E-2</v>
      </c>
      <c r="I5">
        <v>4.3999999999999997E-2</v>
      </c>
      <c r="J5">
        <v>4.4999999999999998E-2</v>
      </c>
      <c r="K5">
        <v>4.4999999999999998E-2</v>
      </c>
      <c r="L5">
        <v>4.2999999999999997E-2</v>
      </c>
      <c r="M5">
        <v>4.2999999999999997E-2</v>
      </c>
      <c r="N5" t="s">
        <v>6</v>
      </c>
    </row>
    <row r="6" spans="1:14">
      <c r="A6" t="s">
        <v>8</v>
      </c>
      <c r="B6">
        <v>0.20599999999999999</v>
      </c>
      <c r="C6">
        <v>0.19600000000000001</v>
      </c>
      <c r="D6">
        <v>0.21</v>
      </c>
      <c r="E6">
        <v>0.26700000000000002</v>
      </c>
      <c r="F6">
        <v>5.7000000000000002E-2</v>
      </c>
      <c r="G6">
        <v>5.5E-2</v>
      </c>
      <c r="H6">
        <v>4.9000000000000002E-2</v>
      </c>
      <c r="I6">
        <v>0.05</v>
      </c>
      <c r="J6">
        <v>0.05</v>
      </c>
      <c r="K6">
        <v>0.05</v>
      </c>
      <c r="L6">
        <v>0.05</v>
      </c>
      <c r="M6">
        <v>0.05</v>
      </c>
      <c r="N6" t="s">
        <v>5</v>
      </c>
    </row>
    <row r="7" spans="1:14">
      <c r="B7">
        <v>3.6999999999999998E-2</v>
      </c>
      <c r="C7">
        <v>3.7999999999999999E-2</v>
      </c>
      <c r="D7">
        <v>3.6999999999999998E-2</v>
      </c>
      <c r="E7">
        <v>3.7999999999999999E-2</v>
      </c>
      <c r="F7">
        <v>4.1000000000000002E-2</v>
      </c>
      <c r="G7">
        <v>4.4999999999999998E-2</v>
      </c>
      <c r="H7">
        <v>4.2999999999999997E-2</v>
      </c>
      <c r="I7">
        <v>4.2999999999999997E-2</v>
      </c>
      <c r="J7">
        <v>4.2999999999999997E-2</v>
      </c>
      <c r="K7">
        <v>4.2000000000000003E-2</v>
      </c>
      <c r="L7">
        <v>4.2999999999999997E-2</v>
      </c>
      <c r="M7">
        <v>4.2999999999999997E-2</v>
      </c>
      <c r="N7" t="s">
        <v>6</v>
      </c>
    </row>
    <row r="8" spans="1:14">
      <c r="A8" t="s">
        <v>9</v>
      </c>
      <c r="B8">
        <v>4.9000000000000002E-2</v>
      </c>
      <c r="C8">
        <v>4.9000000000000002E-2</v>
      </c>
      <c r="D8">
        <v>0.05</v>
      </c>
      <c r="E8">
        <v>5.1999999999999998E-2</v>
      </c>
      <c r="F8">
        <v>0.05</v>
      </c>
      <c r="G8">
        <v>0.05</v>
      </c>
      <c r="H8">
        <v>5.0999999999999997E-2</v>
      </c>
      <c r="I8">
        <v>0.05</v>
      </c>
      <c r="J8">
        <v>0.05</v>
      </c>
      <c r="K8">
        <v>4.9000000000000002E-2</v>
      </c>
      <c r="L8">
        <v>0.05</v>
      </c>
      <c r="M8">
        <v>0.05</v>
      </c>
      <c r="N8" t="s">
        <v>5</v>
      </c>
    </row>
    <row r="9" spans="1:14">
      <c r="B9">
        <v>4.2999999999999997E-2</v>
      </c>
      <c r="C9">
        <v>4.2000000000000003E-2</v>
      </c>
      <c r="D9">
        <v>4.2000000000000003E-2</v>
      </c>
      <c r="E9">
        <v>4.4999999999999998E-2</v>
      </c>
      <c r="F9">
        <v>4.2999999999999997E-2</v>
      </c>
      <c r="G9">
        <v>4.3999999999999997E-2</v>
      </c>
      <c r="H9">
        <v>4.4999999999999998E-2</v>
      </c>
      <c r="I9">
        <v>4.2999999999999997E-2</v>
      </c>
      <c r="J9">
        <v>4.2999999999999997E-2</v>
      </c>
      <c r="K9">
        <v>4.2000000000000003E-2</v>
      </c>
      <c r="L9">
        <v>4.2000000000000003E-2</v>
      </c>
      <c r="M9">
        <v>4.2999999999999997E-2</v>
      </c>
      <c r="N9" t="s">
        <v>6</v>
      </c>
    </row>
    <row r="10" spans="1:14">
      <c r="A10" t="s">
        <v>10</v>
      </c>
      <c r="B10">
        <v>0.05</v>
      </c>
      <c r="C10">
        <v>4.9000000000000002E-2</v>
      </c>
      <c r="D10">
        <v>0.05</v>
      </c>
      <c r="E10">
        <v>4.9000000000000002E-2</v>
      </c>
      <c r="F10">
        <v>5.2999999999999999E-2</v>
      </c>
      <c r="G10">
        <v>5.0999999999999997E-2</v>
      </c>
      <c r="H10">
        <v>7.5999999999999998E-2</v>
      </c>
      <c r="I10">
        <v>5.8000000000000003E-2</v>
      </c>
      <c r="J10">
        <v>5.0999999999999997E-2</v>
      </c>
      <c r="K10">
        <v>0.05</v>
      </c>
      <c r="L10">
        <v>0.05</v>
      </c>
      <c r="M10">
        <v>0.05</v>
      </c>
      <c r="N10" t="s">
        <v>5</v>
      </c>
    </row>
    <row r="11" spans="1:14">
      <c r="B11">
        <v>4.2000000000000003E-2</v>
      </c>
      <c r="C11">
        <v>4.2000000000000003E-2</v>
      </c>
      <c r="D11">
        <v>4.2999999999999997E-2</v>
      </c>
      <c r="E11">
        <v>4.2000000000000003E-2</v>
      </c>
      <c r="F11">
        <v>4.4999999999999998E-2</v>
      </c>
      <c r="G11">
        <v>4.4999999999999998E-2</v>
      </c>
      <c r="H11">
        <v>6.0999999999999999E-2</v>
      </c>
      <c r="I11">
        <v>4.9000000000000002E-2</v>
      </c>
      <c r="J11">
        <v>4.3999999999999997E-2</v>
      </c>
      <c r="K11">
        <v>4.2999999999999997E-2</v>
      </c>
      <c r="L11">
        <v>4.2999999999999997E-2</v>
      </c>
      <c r="M11">
        <v>4.2000000000000003E-2</v>
      </c>
      <c r="N11" t="s">
        <v>6</v>
      </c>
    </row>
    <row r="12" spans="1:14">
      <c r="A12" t="s">
        <v>11</v>
      </c>
      <c r="B12">
        <v>0.05</v>
      </c>
      <c r="C12">
        <v>4.9000000000000002E-2</v>
      </c>
      <c r="D12">
        <v>0.05</v>
      </c>
      <c r="E12">
        <v>0.05</v>
      </c>
      <c r="F12">
        <v>4.9000000000000002E-2</v>
      </c>
      <c r="G12">
        <v>0.05</v>
      </c>
      <c r="H12">
        <v>4.9000000000000002E-2</v>
      </c>
      <c r="I12">
        <v>4.9000000000000002E-2</v>
      </c>
      <c r="J12">
        <v>0.05</v>
      </c>
      <c r="K12">
        <v>0.05</v>
      </c>
      <c r="L12">
        <v>0.05</v>
      </c>
      <c r="M12">
        <v>0.05</v>
      </c>
      <c r="N12" t="s">
        <v>5</v>
      </c>
    </row>
    <row r="13" spans="1:14">
      <c r="B13">
        <v>4.2999999999999997E-2</v>
      </c>
      <c r="C13">
        <v>4.2999999999999997E-2</v>
      </c>
      <c r="D13">
        <v>4.2000000000000003E-2</v>
      </c>
      <c r="E13">
        <v>4.2999999999999997E-2</v>
      </c>
      <c r="F13">
        <v>4.2999999999999997E-2</v>
      </c>
      <c r="G13">
        <v>4.2000000000000003E-2</v>
      </c>
      <c r="H13">
        <v>4.1000000000000002E-2</v>
      </c>
      <c r="I13">
        <v>4.2999999999999997E-2</v>
      </c>
      <c r="J13">
        <v>4.2000000000000003E-2</v>
      </c>
      <c r="K13">
        <v>4.2000000000000003E-2</v>
      </c>
      <c r="L13">
        <v>4.3999999999999997E-2</v>
      </c>
      <c r="M13">
        <v>4.2000000000000003E-2</v>
      </c>
      <c r="N13" t="s">
        <v>6</v>
      </c>
    </row>
    <row r="14" spans="1:14">
      <c r="A14" t="s">
        <v>12</v>
      </c>
      <c r="B14">
        <v>0.05</v>
      </c>
      <c r="C14">
        <v>0.05</v>
      </c>
      <c r="D14">
        <v>0.05</v>
      </c>
      <c r="E14">
        <v>0.05</v>
      </c>
      <c r="F14">
        <v>5.0999999999999997E-2</v>
      </c>
      <c r="G14">
        <v>4.9000000000000002E-2</v>
      </c>
      <c r="H14">
        <v>0.05</v>
      </c>
      <c r="I14">
        <v>4.9000000000000002E-2</v>
      </c>
      <c r="J14">
        <v>4.9000000000000002E-2</v>
      </c>
      <c r="K14">
        <v>0.05</v>
      </c>
      <c r="L14">
        <v>5.0999999999999997E-2</v>
      </c>
      <c r="M14">
        <v>0.05</v>
      </c>
      <c r="N14" t="s">
        <v>5</v>
      </c>
    </row>
    <row r="15" spans="1:14">
      <c r="B15">
        <v>4.2000000000000003E-2</v>
      </c>
      <c r="C15">
        <v>4.3999999999999997E-2</v>
      </c>
      <c r="D15">
        <v>4.4999999999999998E-2</v>
      </c>
      <c r="E15">
        <v>4.2999999999999997E-2</v>
      </c>
      <c r="F15">
        <v>4.3999999999999997E-2</v>
      </c>
      <c r="G15">
        <v>4.2000000000000003E-2</v>
      </c>
      <c r="H15">
        <v>4.2000000000000003E-2</v>
      </c>
      <c r="I15">
        <v>4.2999999999999997E-2</v>
      </c>
      <c r="J15">
        <v>4.3999999999999997E-2</v>
      </c>
      <c r="K15">
        <v>4.4999999999999998E-2</v>
      </c>
      <c r="L15">
        <v>4.4999999999999998E-2</v>
      </c>
      <c r="M15">
        <v>4.2000000000000003E-2</v>
      </c>
      <c r="N15" t="s">
        <v>6</v>
      </c>
    </row>
    <row r="16" spans="1:14">
      <c r="A16" t="s">
        <v>13</v>
      </c>
      <c r="B16">
        <v>0.05</v>
      </c>
      <c r="C16">
        <v>0.05</v>
      </c>
      <c r="D16">
        <v>5.1999999999999998E-2</v>
      </c>
      <c r="E16">
        <v>0.05</v>
      </c>
      <c r="F16">
        <v>4.9000000000000002E-2</v>
      </c>
      <c r="G16">
        <v>5.0999999999999997E-2</v>
      </c>
      <c r="H16">
        <v>0.05</v>
      </c>
      <c r="I16">
        <v>0.05</v>
      </c>
      <c r="J16">
        <v>0.05</v>
      </c>
      <c r="K16">
        <v>0.05</v>
      </c>
      <c r="L16">
        <v>0.05</v>
      </c>
      <c r="M16">
        <v>5.0999999999999997E-2</v>
      </c>
      <c r="N16" t="s">
        <v>5</v>
      </c>
    </row>
    <row r="17" spans="2:14">
      <c r="B17">
        <v>4.2000000000000003E-2</v>
      </c>
      <c r="C17">
        <v>4.2999999999999997E-2</v>
      </c>
      <c r="D17">
        <v>4.5999999999999999E-2</v>
      </c>
      <c r="E17">
        <v>4.3999999999999997E-2</v>
      </c>
      <c r="F17">
        <v>4.2000000000000003E-2</v>
      </c>
      <c r="G17">
        <v>4.2999999999999997E-2</v>
      </c>
      <c r="H17">
        <v>4.2999999999999997E-2</v>
      </c>
      <c r="I17">
        <v>4.2999999999999997E-2</v>
      </c>
      <c r="J17">
        <v>4.2999999999999997E-2</v>
      </c>
      <c r="K17">
        <v>4.3999999999999997E-2</v>
      </c>
      <c r="L17">
        <v>4.2999999999999997E-2</v>
      </c>
      <c r="M17">
        <v>4.2999999999999997E-2</v>
      </c>
      <c r="N17" t="s">
        <v>6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17FE-9D54-EC40-B728-AFCDE06668AD}">
  <dimension ref="A1:N9"/>
  <sheetViews>
    <sheetView workbookViewId="0">
      <selection activeCell="E17" sqref="E17"/>
    </sheetView>
  </sheetViews>
  <sheetFormatPr baseColWidth="10" defaultRowHeight="20"/>
  <sheetData>
    <row r="1" spans="1:1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4">
      <c r="A2" t="s">
        <v>4</v>
      </c>
      <c r="B2">
        <v>0.13100000000000001</v>
      </c>
      <c r="C2">
        <v>0.155</v>
      </c>
      <c r="D2">
        <v>0.16900000000000001</v>
      </c>
      <c r="E2">
        <v>0.17699999999999999</v>
      </c>
      <c r="F2">
        <v>4.8000000000000001E-2</v>
      </c>
      <c r="G2">
        <v>4.7E-2</v>
      </c>
      <c r="H2">
        <v>4.5999999999999999E-2</v>
      </c>
      <c r="I2">
        <v>4.9000000000000002E-2</v>
      </c>
      <c r="J2">
        <v>4.8000000000000001E-2</v>
      </c>
      <c r="K2">
        <v>4.7E-2</v>
      </c>
      <c r="L2">
        <v>4.7E-2</v>
      </c>
      <c r="M2">
        <v>4.7E-2</v>
      </c>
      <c r="N2">
        <v>450</v>
      </c>
    </row>
    <row r="3" spans="1:14">
      <c r="A3" t="s">
        <v>7</v>
      </c>
      <c r="B3">
        <v>0.158</v>
      </c>
      <c r="C3">
        <v>0.157</v>
      </c>
      <c r="D3">
        <v>0.17499999999999999</v>
      </c>
      <c r="E3">
        <v>0.17399999999999999</v>
      </c>
      <c r="F3">
        <v>0.06</v>
      </c>
      <c r="G3">
        <v>4.8000000000000001E-2</v>
      </c>
      <c r="H3">
        <v>4.5999999999999999E-2</v>
      </c>
      <c r="I3">
        <v>4.7E-2</v>
      </c>
      <c r="J3">
        <v>4.9000000000000002E-2</v>
      </c>
      <c r="K3">
        <v>0.05</v>
      </c>
      <c r="L3">
        <v>4.7E-2</v>
      </c>
      <c r="M3">
        <v>4.7E-2</v>
      </c>
      <c r="N3">
        <v>450</v>
      </c>
    </row>
    <row r="4" spans="1:14">
      <c r="A4" t="s">
        <v>8</v>
      </c>
      <c r="B4">
        <v>0.14499999999999999</v>
      </c>
      <c r="C4">
        <v>0.14000000000000001</v>
      </c>
      <c r="D4">
        <v>0.14699999999999999</v>
      </c>
      <c r="E4">
        <v>0.184</v>
      </c>
      <c r="F4">
        <v>4.9000000000000002E-2</v>
      </c>
      <c r="G4">
        <v>5.0999999999999997E-2</v>
      </c>
      <c r="H4">
        <v>4.5999999999999999E-2</v>
      </c>
      <c r="I4">
        <v>4.9000000000000002E-2</v>
      </c>
      <c r="J4">
        <v>4.8000000000000001E-2</v>
      </c>
      <c r="K4">
        <v>4.7E-2</v>
      </c>
      <c r="L4">
        <v>4.7E-2</v>
      </c>
      <c r="M4">
        <v>4.7E-2</v>
      </c>
      <c r="N4">
        <v>450</v>
      </c>
    </row>
    <row r="5" spans="1:14">
      <c r="A5" t="s">
        <v>9</v>
      </c>
      <c r="B5">
        <v>4.5999999999999999E-2</v>
      </c>
      <c r="C5">
        <v>4.7E-2</v>
      </c>
      <c r="D5">
        <v>4.7E-2</v>
      </c>
      <c r="E5">
        <v>4.9000000000000002E-2</v>
      </c>
      <c r="F5">
        <v>4.5999999999999999E-2</v>
      </c>
      <c r="G5">
        <v>4.5999999999999999E-2</v>
      </c>
      <c r="H5">
        <v>4.7E-2</v>
      </c>
      <c r="I5">
        <v>4.7E-2</v>
      </c>
      <c r="J5">
        <v>4.7E-2</v>
      </c>
      <c r="K5">
        <v>4.7E-2</v>
      </c>
      <c r="L5">
        <v>4.5999999999999999E-2</v>
      </c>
      <c r="M5">
        <v>4.7E-2</v>
      </c>
      <c r="N5">
        <v>450</v>
      </c>
    </row>
    <row r="6" spans="1:14">
      <c r="A6" t="s">
        <v>10</v>
      </c>
      <c r="B6">
        <v>4.7E-2</v>
      </c>
      <c r="C6">
        <v>4.5999999999999999E-2</v>
      </c>
      <c r="D6">
        <v>4.7E-2</v>
      </c>
      <c r="E6">
        <v>4.7E-2</v>
      </c>
      <c r="F6">
        <v>4.9000000000000002E-2</v>
      </c>
      <c r="G6">
        <v>4.7E-2</v>
      </c>
      <c r="H6">
        <v>7.0000000000000007E-2</v>
      </c>
      <c r="I6">
        <v>5.5E-2</v>
      </c>
      <c r="J6">
        <v>4.8000000000000001E-2</v>
      </c>
      <c r="K6">
        <v>4.7E-2</v>
      </c>
      <c r="L6">
        <v>4.7E-2</v>
      </c>
      <c r="M6">
        <v>4.7E-2</v>
      </c>
      <c r="N6">
        <v>450</v>
      </c>
    </row>
    <row r="7" spans="1:14">
      <c r="A7" t="s">
        <v>11</v>
      </c>
      <c r="B7">
        <v>4.7E-2</v>
      </c>
      <c r="C7">
        <v>4.7E-2</v>
      </c>
      <c r="D7">
        <v>4.5999999999999999E-2</v>
      </c>
      <c r="E7">
        <v>4.8000000000000001E-2</v>
      </c>
      <c r="F7">
        <v>4.8000000000000001E-2</v>
      </c>
      <c r="G7">
        <v>4.7E-2</v>
      </c>
      <c r="H7">
        <v>4.5999999999999999E-2</v>
      </c>
      <c r="I7">
        <v>4.8000000000000001E-2</v>
      </c>
      <c r="J7">
        <v>4.8000000000000001E-2</v>
      </c>
      <c r="K7">
        <v>4.7E-2</v>
      </c>
      <c r="L7">
        <v>4.7E-2</v>
      </c>
      <c r="M7">
        <v>4.8000000000000001E-2</v>
      </c>
      <c r="N7">
        <v>450</v>
      </c>
    </row>
    <row r="8" spans="1:14">
      <c r="A8" t="s">
        <v>12</v>
      </c>
      <c r="B8">
        <v>4.7E-2</v>
      </c>
      <c r="C8">
        <v>4.7E-2</v>
      </c>
      <c r="D8">
        <v>4.8000000000000001E-2</v>
      </c>
      <c r="E8">
        <v>4.7E-2</v>
      </c>
      <c r="F8">
        <v>4.8000000000000001E-2</v>
      </c>
      <c r="G8">
        <v>4.5999999999999999E-2</v>
      </c>
      <c r="H8">
        <v>4.7E-2</v>
      </c>
      <c r="I8">
        <v>4.5999999999999999E-2</v>
      </c>
      <c r="J8">
        <v>4.7E-2</v>
      </c>
      <c r="K8">
        <v>4.9000000000000002E-2</v>
      </c>
      <c r="L8">
        <v>4.8000000000000001E-2</v>
      </c>
      <c r="M8">
        <v>4.8000000000000001E-2</v>
      </c>
      <c r="N8">
        <v>450</v>
      </c>
    </row>
    <row r="9" spans="1:14">
      <c r="A9" t="s">
        <v>13</v>
      </c>
      <c r="B9">
        <v>4.8000000000000001E-2</v>
      </c>
      <c r="C9">
        <v>4.5999999999999999E-2</v>
      </c>
      <c r="D9">
        <v>4.9000000000000002E-2</v>
      </c>
      <c r="E9">
        <v>4.5999999999999999E-2</v>
      </c>
      <c r="F9">
        <v>4.5999999999999999E-2</v>
      </c>
      <c r="G9">
        <v>4.8000000000000001E-2</v>
      </c>
      <c r="H9">
        <v>4.8000000000000001E-2</v>
      </c>
      <c r="I9">
        <v>4.7E-2</v>
      </c>
      <c r="J9">
        <v>4.5999999999999999E-2</v>
      </c>
      <c r="K9">
        <v>4.7E-2</v>
      </c>
      <c r="L9">
        <v>4.7E-2</v>
      </c>
      <c r="M9">
        <v>4.9000000000000002E-2</v>
      </c>
      <c r="N9">
        <v>450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415</vt:lpstr>
      <vt:lpstr>450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2024-06-14T04:06:40Z</dcterms:created>
  <dcterms:modified xsi:type="dcterms:W3CDTF">2024-06-18T08:25:52Z</dcterms:modified>
</cp:coreProperties>
</file>