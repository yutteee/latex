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tteee/univ/latex/研究/3/"/>
    </mc:Choice>
  </mc:AlternateContent>
  <xr:revisionPtr revIDLastSave="0" documentId="13_ncr:1_{CA6A65B3-3F89-F14A-81F6-309847695BF3}" xr6:coauthVersionLast="47" xr6:coauthVersionMax="47" xr10:uidLastSave="{00000000-0000-0000-0000-000000000000}"/>
  <bookViews>
    <workbookView xWindow="34560" yWindow="-10780" windowWidth="38400" windowHeight="21100" xr2:uid="{6A2A4251-245C-3147-9845-2915027DC538}"/>
  </bookViews>
  <sheets>
    <sheet name="Sheet1" sheetId="1" r:id="rId1"/>
    <sheet name="β-g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D28" i="1"/>
  <c r="E28" i="1"/>
  <c r="F28" i="1"/>
  <c r="G28" i="1"/>
  <c r="H28" i="1"/>
  <c r="I28" i="1"/>
  <c r="B28" i="1"/>
  <c r="C27" i="1"/>
  <c r="D27" i="1"/>
  <c r="E27" i="1"/>
  <c r="F27" i="1"/>
  <c r="G27" i="1"/>
  <c r="H27" i="1"/>
  <c r="I27" i="1"/>
  <c r="B27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B26" i="1"/>
  <c r="C26" i="1"/>
  <c r="F26" i="1"/>
  <c r="G26" i="1"/>
  <c r="H26" i="1"/>
  <c r="I26" i="1"/>
  <c r="C20" i="1"/>
  <c r="D20" i="1"/>
  <c r="E20" i="1"/>
  <c r="F20" i="1"/>
  <c r="G20" i="1"/>
  <c r="H20" i="1"/>
  <c r="I20" i="1"/>
  <c r="B20" i="1"/>
  <c r="C19" i="1" l="1"/>
  <c r="D19" i="1"/>
  <c r="E19" i="1"/>
  <c r="F19" i="1"/>
  <c r="G19" i="1"/>
  <c r="H19" i="1"/>
  <c r="I19" i="1"/>
  <c r="B19" i="1"/>
  <c r="C16" i="1"/>
  <c r="D16" i="1"/>
  <c r="E16" i="1"/>
  <c r="F16" i="1"/>
  <c r="G16" i="1"/>
  <c r="H16" i="1"/>
  <c r="I16" i="1"/>
  <c r="C17" i="1"/>
  <c r="D17" i="1"/>
  <c r="E17" i="1"/>
  <c r="F17" i="1"/>
  <c r="G17" i="1"/>
  <c r="H17" i="1"/>
  <c r="I17" i="1"/>
  <c r="C18" i="1"/>
  <c r="F18" i="1"/>
  <c r="G18" i="1"/>
  <c r="H18" i="1"/>
  <c r="I18" i="1"/>
  <c r="B17" i="1"/>
  <c r="B18" i="1"/>
  <c r="B16" i="1"/>
</calcChain>
</file>

<file path=xl/sharedStrings.xml><?xml version="1.0" encoding="utf-8"?>
<sst xmlns="http://schemas.openxmlformats.org/spreadsheetml/2006/main" count="52" uniqueCount="27">
  <si>
    <t>ホタルルシフェラーゼアッセイ</t>
    <phoneticPr fontId="1"/>
  </si>
  <si>
    <t>n1</t>
    <phoneticPr fontId="1"/>
  </si>
  <si>
    <t>n2</t>
    <phoneticPr fontId="1"/>
  </si>
  <si>
    <t>n3</t>
    <phoneticPr fontId="1"/>
  </si>
  <si>
    <t>β-galアッセイ</t>
    <phoneticPr fontId="1"/>
  </si>
  <si>
    <t>Luc activity</t>
    <phoneticPr fontId="1"/>
  </si>
  <si>
    <t>Relative Luc activity</t>
    <phoneticPr fontId="1"/>
  </si>
  <si>
    <t>A</t>
  </si>
  <si>
    <t>Read 1:415</t>
  </si>
  <si>
    <t>Read 2:655</t>
  </si>
  <si>
    <t>B</t>
  </si>
  <si>
    <t>C</t>
  </si>
  <si>
    <t>D</t>
  </si>
  <si>
    <t>E</t>
  </si>
  <si>
    <t>F</t>
  </si>
  <si>
    <t>G</t>
  </si>
  <si>
    <t>H</t>
  </si>
  <si>
    <t>ave</t>
    <phoneticPr fontId="1"/>
  </si>
  <si>
    <t>補正</t>
    <rPh sb="0" eb="2">
      <t xml:space="preserve">ホセイ </t>
    </rPh>
    <phoneticPr fontId="1"/>
  </si>
  <si>
    <t>control</t>
    <phoneticPr fontId="1"/>
  </si>
  <si>
    <t>DCA only</t>
    <phoneticPr fontId="1"/>
  </si>
  <si>
    <t>QLSRRA</t>
    <phoneticPr fontId="1"/>
  </si>
  <si>
    <t>VRFPLL</t>
    <phoneticPr fontId="1"/>
  </si>
  <si>
    <t>QSKSRR</t>
    <phoneticPr fontId="1"/>
  </si>
  <si>
    <t>QLSRRA +DCA</t>
    <phoneticPr fontId="1"/>
  </si>
  <si>
    <t>VRFPLL +DCA</t>
    <phoneticPr fontId="1"/>
  </si>
  <si>
    <t>QSKSRR +DCA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</si>
</sst>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Sheet1!$B$28:$I$28</c:f>
                <c:numCache>
                  <c:formatCode>General</c:formatCode>
                  <c:ptCount val="8"/>
                  <c:pt idx="0">
                    <c:v>3.2366675823025002</c:v>
                  </c:pt>
                  <c:pt idx="1">
                    <c:v>24.037740626834424</c:v>
                  </c:pt>
                  <c:pt idx="2">
                    <c:v>0.75470226497672044</c:v>
                  </c:pt>
                  <c:pt idx="3">
                    <c:v>18.582048776929167</c:v>
                  </c:pt>
                  <c:pt idx="4">
                    <c:v>8.054982092444849</c:v>
                  </c:pt>
                  <c:pt idx="5">
                    <c:v>33.931685262444397</c:v>
                  </c:pt>
                  <c:pt idx="6">
                    <c:v>9.1012345222664681</c:v>
                  </c:pt>
                  <c:pt idx="7">
                    <c:v>18.958747776136605</c:v>
                  </c:pt>
                </c:numCache>
              </c:numRef>
            </c:plus>
            <c:minus>
              <c:numRef>
                <c:f>Sheet1!$B$28:$I$28</c:f>
                <c:numCache>
                  <c:formatCode>General</c:formatCode>
                  <c:ptCount val="8"/>
                  <c:pt idx="0">
                    <c:v>3.2366675823025002</c:v>
                  </c:pt>
                  <c:pt idx="1">
                    <c:v>24.037740626834424</c:v>
                  </c:pt>
                  <c:pt idx="2">
                    <c:v>0.75470226497672044</c:v>
                  </c:pt>
                  <c:pt idx="3">
                    <c:v>18.582048776929167</c:v>
                  </c:pt>
                  <c:pt idx="4">
                    <c:v>8.054982092444849</c:v>
                  </c:pt>
                  <c:pt idx="5">
                    <c:v>33.931685262444397</c:v>
                  </c:pt>
                  <c:pt idx="6">
                    <c:v>9.1012345222664681</c:v>
                  </c:pt>
                  <c:pt idx="7">
                    <c:v>18.958747776136605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Sheet1!$B$30:$I$30</c:f>
              <c:strCache>
                <c:ptCount val="8"/>
                <c:pt idx="0">
                  <c:v>control</c:v>
                </c:pt>
                <c:pt idx="1">
                  <c:v>DCA only</c:v>
                </c:pt>
                <c:pt idx="2">
                  <c:v>QLSRRA</c:v>
                </c:pt>
                <c:pt idx="3">
                  <c:v>QLSRRA +DCA</c:v>
                </c:pt>
                <c:pt idx="4">
                  <c:v>VRFPLL</c:v>
                </c:pt>
                <c:pt idx="5">
                  <c:v>VRFPLL +DCA</c:v>
                </c:pt>
                <c:pt idx="6">
                  <c:v>QSKSRR</c:v>
                </c:pt>
                <c:pt idx="7">
                  <c:v>QSKSRR +DCA</c:v>
                </c:pt>
              </c:strCache>
            </c:strRef>
          </c:cat>
          <c:val>
            <c:numRef>
              <c:f>Sheet1!$B$27:$I$27</c:f>
              <c:numCache>
                <c:formatCode>General</c:formatCode>
                <c:ptCount val="8"/>
                <c:pt idx="0">
                  <c:v>6.4520083540763186E-9</c:v>
                </c:pt>
                <c:pt idx="1">
                  <c:v>100.00000005749814</c:v>
                </c:pt>
                <c:pt idx="2">
                  <c:v>4.2831039187564778E-2</c:v>
                </c:pt>
                <c:pt idx="3">
                  <c:v>134.06604131637079</c:v>
                </c:pt>
                <c:pt idx="4">
                  <c:v>9.6623204265659215</c:v>
                </c:pt>
                <c:pt idx="5">
                  <c:v>80.948022967734289</c:v>
                </c:pt>
                <c:pt idx="6">
                  <c:v>4.8672449811789908</c:v>
                </c:pt>
                <c:pt idx="7">
                  <c:v>67.726276066030863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7-1849-9522-8341BBD83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9632768"/>
        <c:axId val="2124795136"/>
      </c:barChart>
      <c:catAx>
        <c:axId val="204963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124795136"/>
        <c:crosses val="autoZero"/>
        <c:auto val="1"/>
        <c:lblAlgn val="ctr"/>
        <c:lblOffset val="100"/>
        <c:noMultiLvlLbl val="0"/>
      </c:catAx>
      <c:valAx>
        <c:axId val="2124795136"/>
        <c:scaling>
          <c:orientation val="minMax"/>
          <c:max val="1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Relative Luc activity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04963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Sheet1!$B$20:$I$20</c:f>
              <c:numCache>
                <c:formatCode>General</c:formatCode>
                <c:ptCount val="8"/>
                <c:pt idx="0">
                  <c:v>37392.640923543302</c:v>
                </c:pt>
                <c:pt idx="1">
                  <c:v>277703.71254285029</c:v>
                </c:pt>
                <c:pt idx="2">
                  <c:v>8718.9401076474169</c:v>
                </c:pt>
                <c:pt idx="3">
                  <c:v>214675.08166074735</c:v>
                </c:pt>
                <c:pt idx="4">
                  <c:v>93057.765547272589</c:v>
                </c:pt>
                <c:pt idx="5">
                  <c:v>392006.68301150663</c:v>
                </c:pt>
                <c:pt idx="6">
                  <c:v>105144.93249565402</c:v>
                </c:pt>
                <c:pt idx="7">
                  <c:v>219027.01773556665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F-CB49-9840-377AF3D74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9628576"/>
        <c:axId val="1053021727"/>
      </c:barChart>
      <c:catAx>
        <c:axId val="499628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3021727"/>
        <c:crosses val="autoZero"/>
        <c:auto val="1"/>
        <c:lblAlgn val="ctr"/>
        <c:lblOffset val="100"/>
        <c:noMultiLvlLbl val="0"/>
      </c:catAx>
      <c:valAx>
        <c:axId val="105302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9628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66338</xdr:colOff>
      <xdr:row>19</xdr:row>
      <xdr:rowOff>31031</xdr:rowOff>
    </xdr:from>
    <xdr:to>
      <xdr:col>17</xdr:col>
      <xdr:colOff>584200</xdr:colOff>
      <xdr:row>34</xdr:row>
      <xdr:rowOff>76201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A3BD49D-174D-ED59-1E22-D918EFAEA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876853</xdr:colOff>
      <xdr:row>12</xdr:row>
      <xdr:rowOff>50432</xdr:rowOff>
    </xdr:from>
    <xdr:to>
      <xdr:col>22</xdr:col>
      <xdr:colOff>707520</xdr:colOff>
      <xdr:row>22</xdr:row>
      <xdr:rowOff>253632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5804CAE-D196-7445-09DC-EA0080A67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9AB2-A030-1942-8B51-DA90EE3607E7}">
  <dimension ref="A1:J30"/>
  <sheetViews>
    <sheetView tabSelected="1" zoomScale="115" workbookViewId="0">
      <selection activeCell="D8" sqref="D8"/>
    </sheetView>
  </sheetViews>
  <sheetFormatPr baseColWidth="10" defaultRowHeight="20"/>
  <cols>
    <col min="1" max="2" width="13" bestFit="1" customWidth="1"/>
  </cols>
  <sheetData>
    <row r="1" spans="1:10">
      <c r="A1" t="s">
        <v>0</v>
      </c>
    </row>
    <row r="2" spans="1:10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</row>
    <row r="3" spans="1:10">
      <c r="A3" t="s">
        <v>1</v>
      </c>
      <c r="B3">
        <v>52369</v>
      </c>
      <c r="C3">
        <v>879954</v>
      </c>
      <c r="D3">
        <v>45275</v>
      </c>
      <c r="E3">
        <v>665622</v>
      </c>
      <c r="F3">
        <v>23134</v>
      </c>
      <c r="G3">
        <v>286177</v>
      </c>
      <c r="H3">
        <v>17171</v>
      </c>
      <c r="I3">
        <v>204837</v>
      </c>
    </row>
    <row r="4" spans="1:10">
      <c r="A4" t="s">
        <v>2</v>
      </c>
      <c r="B4">
        <v>132534</v>
      </c>
      <c r="C4">
        <v>180180</v>
      </c>
      <c r="D4">
        <v>52956</v>
      </c>
      <c r="E4">
        <v>334903</v>
      </c>
      <c r="F4">
        <v>56197</v>
      </c>
      <c r="G4">
        <v>92370</v>
      </c>
      <c r="H4">
        <v>71527</v>
      </c>
      <c r="I4">
        <v>105319</v>
      </c>
    </row>
    <row r="5" spans="1:10">
      <c r="A5" t="s">
        <v>3</v>
      </c>
      <c r="B5">
        <v>55400</v>
      </c>
      <c r="C5">
        <v>1042982</v>
      </c>
      <c r="F5">
        <v>68852</v>
      </c>
      <c r="G5">
        <v>141738</v>
      </c>
      <c r="H5">
        <v>61239</v>
      </c>
      <c r="I5">
        <v>110080</v>
      </c>
    </row>
    <row r="8" spans="1:10">
      <c r="A8" t="s">
        <v>4</v>
      </c>
    </row>
    <row r="9" spans="1:10">
      <c r="B9">
        <v>1</v>
      </c>
      <c r="C9">
        <v>2</v>
      </c>
      <c r="D9">
        <v>3</v>
      </c>
      <c r="E9">
        <v>4</v>
      </c>
      <c r="F9">
        <v>5</v>
      </c>
      <c r="G9">
        <v>6</v>
      </c>
      <c r="H9">
        <v>7</v>
      </c>
      <c r="I9">
        <v>8</v>
      </c>
      <c r="J9">
        <v>9</v>
      </c>
    </row>
    <row r="10" spans="1:10">
      <c r="A10" t="s">
        <v>1</v>
      </c>
      <c r="B10">
        <v>0.26400000000000001</v>
      </c>
      <c r="C10">
        <v>0.53500000000000003</v>
      </c>
      <c r="D10">
        <v>0.20300000000000001</v>
      </c>
      <c r="E10">
        <v>0.34499999999999997</v>
      </c>
      <c r="F10">
        <v>9.9000000000000005E-2</v>
      </c>
      <c r="G10">
        <v>0.18099999999999999</v>
      </c>
      <c r="H10">
        <v>0.105</v>
      </c>
      <c r="I10">
        <v>0.16300000000000001</v>
      </c>
      <c r="J10">
        <v>5.2999999999999999E-2</v>
      </c>
    </row>
    <row r="11" spans="1:10">
      <c r="A11" t="s">
        <v>2</v>
      </c>
      <c r="B11">
        <v>0.49</v>
      </c>
      <c r="C11">
        <v>0.16500000000000001</v>
      </c>
      <c r="D11">
        <v>0.22500000000000001</v>
      </c>
      <c r="E11">
        <v>0.20599999999999999</v>
      </c>
      <c r="F11">
        <v>0.14699999999999999</v>
      </c>
      <c r="G11">
        <v>0.115</v>
      </c>
      <c r="H11">
        <v>0.20599999999999999</v>
      </c>
      <c r="I11">
        <v>0.126</v>
      </c>
      <c r="J11">
        <v>5.6000000000000001E-2</v>
      </c>
    </row>
    <row r="12" spans="1:10">
      <c r="A12" t="s">
        <v>3</v>
      </c>
      <c r="B12">
        <v>0.255</v>
      </c>
      <c r="C12">
        <v>0.73699999999999999</v>
      </c>
      <c r="D12">
        <v>6.9000000000000006E-2</v>
      </c>
      <c r="E12">
        <v>5.8000000000000003E-2</v>
      </c>
      <c r="F12">
        <v>0.17</v>
      </c>
      <c r="G12">
        <v>0.128</v>
      </c>
      <c r="H12">
        <v>0.17799999999999999</v>
      </c>
      <c r="I12">
        <v>0.11700000000000001</v>
      </c>
      <c r="J12">
        <v>5.0999999999999997E-2</v>
      </c>
    </row>
    <row r="14" spans="1:10">
      <c r="A14" t="s">
        <v>5</v>
      </c>
    </row>
    <row r="15" spans="1:10">
      <c r="B15">
        <v>1</v>
      </c>
      <c r="C15">
        <v>2</v>
      </c>
      <c r="D15">
        <v>3</v>
      </c>
      <c r="E15">
        <v>4</v>
      </c>
      <c r="F15">
        <v>5</v>
      </c>
      <c r="G15">
        <v>6</v>
      </c>
      <c r="H15">
        <v>7</v>
      </c>
      <c r="I15">
        <v>8</v>
      </c>
    </row>
    <row r="16" spans="1:10">
      <c r="A16" t="s">
        <v>1</v>
      </c>
      <c r="B16">
        <f xml:space="preserve"> B3/B10</f>
        <v>198367.42424242423</v>
      </c>
      <c r="C16">
        <f t="shared" ref="C16:I16" si="0" xml:space="preserve"> C3/C10</f>
        <v>1644773.8317757009</v>
      </c>
      <c r="D16">
        <f t="shared" si="0"/>
        <v>223029.55665024629</v>
      </c>
      <c r="E16">
        <f t="shared" si="0"/>
        <v>1929339.1304347827</v>
      </c>
      <c r="F16">
        <f t="shared" si="0"/>
        <v>233676.76767676766</v>
      </c>
      <c r="G16">
        <f t="shared" si="0"/>
        <v>1581088.3977900553</v>
      </c>
      <c r="H16">
        <f t="shared" si="0"/>
        <v>163533.33333333334</v>
      </c>
      <c r="I16">
        <f t="shared" si="0"/>
        <v>1256668.7116564417</v>
      </c>
    </row>
    <row r="17" spans="1:9">
      <c r="A17" t="s">
        <v>2</v>
      </c>
      <c r="B17">
        <f t="shared" ref="B17:I18" si="1" xml:space="preserve"> B4/B11</f>
        <v>270477.55102040817</v>
      </c>
      <c r="C17">
        <f t="shared" si="1"/>
        <v>1092000</v>
      </c>
      <c r="D17">
        <f t="shared" si="1"/>
        <v>235360</v>
      </c>
      <c r="E17">
        <f t="shared" si="1"/>
        <v>1625742.7184466021</v>
      </c>
      <c r="F17">
        <f t="shared" si="1"/>
        <v>382292.51700680272</v>
      </c>
      <c r="G17">
        <f t="shared" si="1"/>
        <v>803217.39130434778</v>
      </c>
      <c r="H17">
        <f t="shared" si="1"/>
        <v>347218.44660194177</v>
      </c>
      <c r="I17">
        <f t="shared" si="1"/>
        <v>835865.07936507941</v>
      </c>
    </row>
    <row r="18" spans="1:9">
      <c r="A18" t="s">
        <v>3</v>
      </c>
      <c r="B18">
        <f t="shared" si="1"/>
        <v>217254.90196078431</v>
      </c>
      <c r="C18">
        <f t="shared" si="1"/>
        <v>1415172.3202170962</v>
      </c>
      <c r="F18">
        <f t="shared" si="1"/>
        <v>405011.76470588235</v>
      </c>
      <c r="G18">
        <f t="shared" si="1"/>
        <v>1107328.125</v>
      </c>
      <c r="H18">
        <f t="shared" si="1"/>
        <v>344039.32584269665</v>
      </c>
      <c r="I18">
        <f t="shared" si="1"/>
        <v>940854.70085470076</v>
      </c>
    </row>
    <row r="19" spans="1:9">
      <c r="A19" t="s">
        <v>17</v>
      </c>
      <c r="B19">
        <f>AVERAGE(B16:B18)</f>
        <v>228699.9590745389</v>
      </c>
      <c r="C19">
        <f t="shared" ref="C19:I19" si="2">AVERAGE(C16:C18)</f>
        <v>1383982.0506642656</v>
      </c>
      <c r="D19">
        <f t="shared" si="2"/>
        <v>229194.77832512313</v>
      </c>
      <c r="E19">
        <f t="shared" si="2"/>
        <v>1777540.9244406924</v>
      </c>
      <c r="F19">
        <f t="shared" si="2"/>
        <v>340327.01646315091</v>
      </c>
      <c r="G19">
        <f t="shared" si="2"/>
        <v>1163877.9713648011</v>
      </c>
      <c r="H19">
        <f t="shared" si="2"/>
        <v>284930.36859265721</v>
      </c>
      <c r="I19">
        <f t="shared" si="2"/>
        <v>1011129.497292074</v>
      </c>
    </row>
    <row r="20" spans="1:9">
      <c r="A20" t="s">
        <v>18</v>
      </c>
      <c r="B20">
        <f>STDEV(B16:B18)</f>
        <v>37392.640923543302</v>
      </c>
      <c r="C20">
        <f t="shared" ref="C20:I20" si="3">STDEV(C16:C18)</f>
        <v>277703.71254285029</v>
      </c>
      <c r="D20">
        <f t="shared" si="3"/>
        <v>8718.9401076474169</v>
      </c>
      <c r="E20">
        <f t="shared" si="3"/>
        <v>214675.08166074735</v>
      </c>
      <c r="F20">
        <f t="shared" si="3"/>
        <v>93057.765547272589</v>
      </c>
      <c r="G20">
        <f t="shared" si="3"/>
        <v>392006.68301150663</v>
      </c>
      <c r="H20">
        <f t="shared" si="3"/>
        <v>105144.93249565402</v>
      </c>
      <c r="I20">
        <f t="shared" si="3"/>
        <v>219027.01773556665</v>
      </c>
    </row>
    <row r="22" spans="1:9">
      <c r="A22" t="s">
        <v>6</v>
      </c>
    </row>
    <row r="23" spans="1:9">
      <c r="B23">
        <v>1</v>
      </c>
      <c r="C23">
        <v>2</v>
      </c>
      <c r="D23">
        <v>3</v>
      </c>
      <c r="E23">
        <v>4</v>
      </c>
      <c r="F23">
        <v>5</v>
      </c>
      <c r="G23">
        <v>6</v>
      </c>
      <c r="H23">
        <v>7</v>
      </c>
      <c r="I23">
        <v>8</v>
      </c>
    </row>
    <row r="24" spans="1:9">
      <c r="A24" t="s">
        <v>1</v>
      </c>
      <c r="B24">
        <f t="shared" ref="B24:I25" si="4">(B16-228699.959)/(1383982.05-228699.959)</f>
        <v>-2.6255522347204616E-2</v>
      </c>
      <c r="C24">
        <f t="shared" si="4"/>
        <v>1.2257386172670279</v>
      </c>
      <c r="D24">
        <f t="shared" si="4"/>
        <v>-4.9082405015431962E-3</v>
      </c>
      <c r="E24">
        <f t="shared" si="4"/>
        <v>1.4720553401487659</v>
      </c>
      <c r="F24">
        <f t="shared" si="4"/>
        <v>4.3078731294620733E-3</v>
      </c>
      <c r="G24">
        <f t="shared" si="4"/>
        <v>1.1706131769249899</v>
      </c>
      <c r="H24">
        <f t="shared" si="4"/>
        <v>-5.6407544247707601E-2</v>
      </c>
      <c r="I24">
        <f t="shared" si="4"/>
        <v>0.88979891635526243</v>
      </c>
    </row>
    <row r="25" spans="1:9">
      <c r="A25" t="s">
        <v>2</v>
      </c>
      <c r="B25">
        <f t="shared" si="4"/>
        <v>3.6162243270166095E-2</v>
      </c>
      <c r="C25">
        <f t="shared" si="4"/>
        <v>0.74726341533844476</v>
      </c>
      <c r="D25">
        <f t="shared" si="4"/>
        <v>5.7648612852945168E-3</v>
      </c>
      <c r="E25">
        <f t="shared" si="4"/>
        <v>1.2092654861786498</v>
      </c>
      <c r="F25">
        <f t="shared" si="4"/>
        <v>0.13294809917277833</v>
      </c>
      <c r="G25">
        <f t="shared" si="4"/>
        <v>0.49729623334423156</v>
      </c>
      <c r="H25">
        <f t="shared" si="4"/>
        <v>0.10258835355038995</v>
      </c>
      <c r="I25">
        <f t="shared" si="4"/>
        <v>0.52555572798633421</v>
      </c>
    </row>
    <row r="26" spans="1:9">
      <c r="A26" t="s">
        <v>3</v>
      </c>
      <c r="B26">
        <f>(B18-228699.959)/(1383982.05-228699.959)</f>
        <v>-9.9067207294012277E-3</v>
      </c>
      <c r="C26">
        <f>(C18-228699.959)/(1383982.05-228699.959)</f>
        <v>1.0269979691194713</v>
      </c>
      <c r="F26">
        <f t="shared" ref="F26:I26" si="5">(F18-228699.959)/(1383982.05-228699.959)</f>
        <v>0.15261364049473727</v>
      </c>
      <c r="G26">
        <f t="shared" si="5"/>
        <v>0.76053127876280735</v>
      </c>
      <c r="H26">
        <f t="shared" si="5"/>
        <v>9.9836540132687515E-2</v>
      </c>
      <c r="I26">
        <f t="shared" si="5"/>
        <v>0.61643363763932935</v>
      </c>
    </row>
    <row r="27" spans="1:9">
      <c r="A27" t="s">
        <v>17</v>
      </c>
      <c r="B27">
        <f>(B19-228699.959)/(1383982.05-228699.959) * 100</f>
        <v>6.4520083540763186E-9</v>
      </c>
      <c r="C27">
        <f t="shared" ref="C27:I27" si="6">(C19-228699.959)/(1383982.05-228699.959) * 100</f>
        <v>100.00000005749814</v>
      </c>
      <c r="D27">
        <f t="shared" si="6"/>
        <v>4.2831039187564778E-2</v>
      </c>
      <c r="E27">
        <f t="shared" si="6"/>
        <v>134.06604131637079</v>
      </c>
      <c r="F27">
        <f t="shared" si="6"/>
        <v>9.6623204265659215</v>
      </c>
      <c r="G27">
        <f t="shared" si="6"/>
        <v>80.948022967734289</v>
      </c>
      <c r="H27">
        <f t="shared" si="6"/>
        <v>4.8672449811789908</v>
      </c>
      <c r="I27">
        <f t="shared" si="6"/>
        <v>67.726276066030863</v>
      </c>
    </row>
    <row r="28" spans="1:9">
      <c r="A28" t="s">
        <v>18</v>
      </c>
      <c r="B28">
        <f>STDEV(B24:B26) * 100</f>
        <v>3.2366675823025002</v>
      </c>
      <c r="C28">
        <f t="shared" ref="C28:I28" si="7">STDEV(C24:C26) * 100</f>
        <v>24.037740626834424</v>
      </c>
      <c r="D28">
        <f t="shared" si="7"/>
        <v>0.75470226497672044</v>
      </c>
      <c r="E28">
        <f t="shared" si="7"/>
        <v>18.582048776929167</v>
      </c>
      <c r="F28">
        <f t="shared" si="7"/>
        <v>8.054982092444849</v>
      </c>
      <c r="G28">
        <f t="shared" si="7"/>
        <v>33.931685262444397</v>
      </c>
      <c r="H28">
        <f t="shared" si="7"/>
        <v>9.1012345222664681</v>
      </c>
      <c r="I28">
        <f t="shared" si="7"/>
        <v>18.958747776136605</v>
      </c>
    </row>
    <row r="30" spans="1:9">
      <c r="B30" t="s">
        <v>19</v>
      </c>
      <c r="C30" t="s">
        <v>20</v>
      </c>
      <c r="D30" t="s">
        <v>21</v>
      </c>
      <c r="E30" t="s">
        <v>24</v>
      </c>
      <c r="F30" t="s">
        <v>22</v>
      </c>
      <c r="G30" t="s">
        <v>25</v>
      </c>
      <c r="H30" t="s">
        <v>23</v>
      </c>
      <c r="I30" t="s">
        <v>26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6AFEE-CBAD-E349-9CE8-11DB389DE8CA}">
  <dimension ref="A1:N17"/>
  <sheetViews>
    <sheetView workbookViewId="0">
      <selection activeCell="F28" sqref="F28"/>
    </sheetView>
  </sheetViews>
  <sheetFormatPr baseColWidth="10" defaultRowHeight="20"/>
  <sheetData>
    <row r="1" spans="1:14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4">
      <c r="A2" t="s">
        <v>7</v>
      </c>
      <c r="B2">
        <v>0.26400000000000001</v>
      </c>
      <c r="C2">
        <v>0.53500000000000003</v>
      </c>
      <c r="D2">
        <v>0.20300000000000001</v>
      </c>
      <c r="E2">
        <v>0.34499999999999997</v>
      </c>
      <c r="F2">
        <v>9.9000000000000005E-2</v>
      </c>
      <c r="G2">
        <v>0.18099999999999999</v>
      </c>
      <c r="H2">
        <v>0.105</v>
      </c>
      <c r="I2">
        <v>0.16300000000000001</v>
      </c>
      <c r="J2">
        <v>5.2999999999999999E-2</v>
      </c>
      <c r="K2">
        <v>5.0999999999999997E-2</v>
      </c>
      <c r="L2">
        <v>5.0999999999999997E-2</v>
      </c>
      <c r="M2">
        <v>0.05</v>
      </c>
      <c r="N2" t="s">
        <v>8</v>
      </c>
    </row>
    <row r="3" spans="1:14">
      <c r="B3">
        <v>3.7999999999999999E-2</v>
      </c>
      <c r="C3">
        <v>3.9E-2</v>
      </c>
      <c r="D3">
        <v>4.5999999999999999E-2</v>
      </c>
      <c r="E3">
        <v>0.04</v>
      </c>
      <c r="F3">
        <v>3.7999999999999999E-2</v>
      </c>
      <c r="G3">
        <v>3.7999999999999999E-2</v>
      </c>
      <c r="H3">
        <v>3.7999999999999999E-2</v>
      </c>
      <c r="I3">
        <v>3.9E-2</v>
      </c>
      <c r="J3">
        <v>0.04</v>
      </c>
      <c r="K3">
        <v>4.4999999999999998E-2</v>
      </c>
      <c r="L3">
        <v>4.3999999999999997E-2</v>
      </c>
      <c r="M3">
        <v>4.2999999999999997E-2</v>
      </c>
      <c r="N3" t="s">
        <v>9</v>
      </c>
    </row>
    <row r="4" spans="1:14">
      <c r="A4" t="s">
        <v>10</v>
      </c>
      <c r="B4">
        <v>0.49</v>
      </c>
      <c r="C4">
        <v>0.16500000000000001</v>
      </c>
      <c r="D4">
        <v>0.22500000000000001</v>
      </c>
      <c r="E4">
        <v>0.20599999999999999</v>
      </c>
      <c r="F4">
        <v>0.14699999999999999</v>
      </c>
      <c r="G4">
        <v>0.115</v>
      </c>
      <c r="H4">
        <v>0.20599999999999999</v>
      </c>
      <c r="I4">
        <v>0.126</v>
      </c>
      <c r="J4">
        <v>5.6000000000000001E-2</v>
      </c>
      <c r="K4">
        <v>5.0999999999999997E-2</v>
      </c>
      <c r="L4">
        <v>5.0999999999999997E-2</v>
      </c>
      <c r="M4">
        <v>0.05</v>
      </c>
      <c r="N4" t="s">
        <v>8</v>
      </c>
    </row>
    <row r="5" spans="1:14">
      <c r="B5">
        <v>3.7999999999999999E-2</v>
      </c>
      <c r="C5">
        <v>0.04</v>
      </c>
      <c r="D5">
        <v>3.9E-2</v>
      </c>
      <c r="E5">
        <v>3.9E-2</v>
      </c>
      <c r="F5">
        <v>3.7999999999999999E-2</v>
      </c>
      <c r="G5">
        <v>3.7999999999999999E-2</v>
      </c>
      <c r="H5">
        <v>3.9E-2</v>
      </c>
      <c r="I5">
        <v>3.7999999999999999E-2</v>
      </c>
      <c r="J5">
        <v>4.1000000000000002E-2</v>
      </c>
      <c r="K5">
        <v>4.3999999999999997E-2</v>
      </c>
      <c r="L5">
        <v>4.3999999999999997E-2</v>
      </c>
      <c r="M5">
        <v>4.2999999999999997E-2</v>
      </c>
      <c r="N5" t="s">
        <v>9</v>
      </c>
    </row>
    <row r="6" spans="1:14">
      <c r="A6" t="s">
        <v>11</v>
      </c>
      <c r="B6">
        <v>0.255</v>
      </c>
      <c r="C6">
        <v>0.73699999999999999</v>
      </c>
      <c r="D6">
        <v>6.9000000000000006E-2</v>
      </c>
      <c r="E6">
        <v>5.8000000000000003E-2</v>
      </c>
      <c r="F6">
        <v>0.17</v>
      </c>
      <c r="G6">
        <v>0.128</v>
      </c>
      <c r="H6">
        <v>0.17799999999999999</v>
      </c>
      <c r="I6">
        <v>0.11700000000000001</v>
      </c>
      <c r="J6">
        <v>5.0999999999999997E-2</v>
      </c>
      <c r="K6">
        <v>5.1999999999999998E-2</v>
      </c>
      <c r="L6">
        <v>0.05</v>
      </c>
      <c r="M6">
        <v>5.0999999999999997E-2</v>
      </c>
      <c r="N6" t="s">
        <v>8</v>
      </c>
    </row>
    <row r="7" spans="1:14">
      <c r="B7">
        <v>3.9E-2</v>
      </c>
      <c r="C7">
        <v>3.9E-2</v>
      </c>
      <c r="D7">
        <v>3.7999999999999999E-2</v>
      </c>
      <c r="E7">
        <v>3.9E-2</v>
      </c>
      <c r="F7">
        <v>4.1000000000000002E-2</v>
      </c>
      <c r="G7">
        <v>3.7999999999999999E-2</v>
      </c>
      <c r="H7">
        <v>3.7999999999999999E-2</v>
      </c>
      <c r="I7">
        <v>3.7999999999999999E-2</v>
      </c>
      <c r="J7">
        <v>3.7999999999999999E-2</v>
      </c>
      <c r="K7">
        <v>4.3999999999999997E-2</v>
      </c>
      <c r="L7">
        <v>4.2999999999999997E-2</v>
      </c>
      <c r="M7">
        <v>4.2999999999999997E-2</v>
      </c>
      <c r="N7" t="s">
        <v>9</v>
      </c>
    </row>
    <row r="8" spans="1:14">
      <c r="A8" t="s">
        <v>12</v>
      </c>
      <c r="B8">
        <v>0.05</v>
      </c>
      <c r="C8">
        <v>5.0999999999999997E-2</v>
      </c>
      <c r="D8">
        <v>5.0999999999999997E-2</v>
      </c>
      <c r="E8">
        <v>5.0999999999999997E-2</v>
      </c>
      <c r="F8">
        <v>5.0999999999999997E-2</v>
      </c>
      <c r="G8">
        <v>0.05</v>
      </c>
      <c r="H8">
        <v>5.0999999999999997E-2</v>
      </c>
      <c r="I8">
        <v>5.0999999999999997E-2</v>
      </c>
      <c r="J8">
        <v>5.0999999999999997E-2</v>
      </c>
      <c r="K8">
        <v>5.1999999999999998E-2</v>
      </c>
      <c r="L8">
        <v>5.1999999999999998E-2</v>
      </c>
      <c r="M8">
        <v>5.0999999999999997E-2</v>
      </c>
      <c r="N8" t="s">
        <v>8</v>
      </c>
    </row>
    <row r="9" spans="1:14">
      <c r="B9">
        <v>4.2999999999999997E-2</v>
      </c>
      <c r="C9">
        <v>4.2999999999999997E-2</v>
      </c>
      <c r="D9">
        <v>4.3999999999999997E-2</v>
      </c>
      <c r="E9">
        <v>4.2999999999999997E-2</v>
      </c>
      <c r="F9">
        <v>4.3999999999999997E-2</v>
      </c>
      <c r="G9">
        <v>4.3999999999999997E-2</v>
      </c>
      <c r="H9">
        <v>4.4999999999999998E-2</v>
      </c>
      <c r="I9">
        <v>4.2999999999999997E-2</v>
      </c>
      <c r="J9">
        <v>4.3999999999999997E-2</v>
      </c>
      <c r="K9">
        <v>4.3999999999999997E-2</v>
      </c>
      <c r="L9">
        <v>4.3999999999999997E-2</v>
      </c>
      <c r="M9">
        <v>4.3999999999999997E-2</v>
      </c>
      <c r="N9" t="s">
        <v>9</v>
      </c>
    </row>
    <row r="10" spans="1:14">
      <c r="A10" t="s">
        <v>13</v>
      </c>
      <c r="B10">
        <v>5.1999999999999998E-2</v>
      </c>
      <c r="C10">
        <v>5.0999999999999997E-2</v>
      </c>
      <c r="D10">
        <v>5.1999999999999998E-2</v>
      </c>
      <c r="E10">
        <v>5.0999999999999997E-2</v>
      </c>
      <c r="F10">
        <v>5.1999999999999998E-2</v>
      </c>
      <c r="G10">
        <v>5.2999999999999999E-2</v>
      </c>
      <c r="H10">
        <v>5.0999999999999997E-2</v>
      </c>
      <c r="I10">
        <v>5.0999999999999997E-2</v>
      </c>
      <c r="J10">
        <v>5.0999999999999997E-2</v>
      </c>
      <c r="K10">
        <v>5.0999999999999997E-2</v>
      </c>
      <c r="L10">
        <v>5.1999999999999998E-2</v>
      </c>
      <c r="M10">
        <v>0.05</v>
      </c>
      <c r="N10" t="s">
        <v>8</v>
      </c>
    </row>
    <row r="11" spans="1:14">
      <c r="B11">
        <v>4.2999999999999997E-2</v>
      </c>
      <c r="C11">
        <v>4.3999999999999997E-2</v>
      </c>
      <c r="D11">
        <v>4.3999999999999997E-2</v>
      </c>
      <c r="E11">
        <v>4.2999999999999997E-2</v>
      </c>
      <c r="F11">
        <v>4.3999999999999997E-2</v>
      </c>
      <c r="G11">
        <v>4.5999999999999999E-2</v>
      </c>
      <c r="H11">
        <v>4.3999999999999997E-2</v>
      </c>
      <c r="I11">
        <v>4.3999999999999997E-2</v>
      </c>
      <c r="J11">
        <v>4.3999999999999997E-2</v>
      </c>
      <c r="K11">
        <v>4.2999999999999997E-2</v>
      </c>
      <c r="L11">
        <v>4.3999999999999997E-2</v>
      </c>
      <c r="M11">
        <v>4.2999999999999997E-2</v>
      </c>
      <c r="N11" t="s">
        <v>9</v>
      </c>
    </row>
    <row r="12" spans="1:14">
      <c r="A12" t="s">
        <v>14</v>
      </c>
      <c r="B12">
        <v>5.0999999999999997E-2</v>
      </c>
      <c r="C12">
        <v>0.05</v>
      </c>
      <c r="D12">
        <v>5.1999999999999998E-2</v>
      </c>
      <c r="E12">
        <v>5.0999999999999997E-2</v>
      </c>
      <c r="F12">
        <v>5.2999999999999999E-2</v>
      </c>
      <c r="G12">
        <v>5.0999999999999997E-2</v>
      </c>
      <c r="H12">
        <v>5.0999999999999997E-2</v>
      </c>
      <c r="I12">
        <v>5.0999999999999997E-2</v>
      </c>
      <c r="J12">
        <v>5.0999999999999997E-2</v>
      </c>
      <c r="K12">
        <v>5.0999999999999997E-2</v>
      </c>
      <c r="L12">
        <v>0.05</v>
      </c>
      <c r="M12">
        <v>5.0999999999999997E-2</v>
      </c>
      <c r="N12" t="s">
        <v>8</v>
      </c>
    </row>
    <row r="13" spans="1:14">
      <c r="B13">
        <v>4.2999999999999997E-2</v>
      </c>
      <c r="C13">
        <v>4.2999999999999997E-2</v>
      </c>
      <c r="D13">
        <v>4.3999999999999997E-2</v>
      </c>
      <c r="E13">
        <v>4.3999999999999997E-2</v>
      </c>
      <c r="F13">
        <v>4.7E-2</v>
      </c>
      <c r="G13">
        <v>4.2999999999999997E-2</v>
      </c>
      <c r="H13">
        <v>4.2999999999999997E-2</v>
      </c>
      <c r="I13">
        <v>4.4999999999999998E-2</v>
      </c>
      <c r="J13">
        <v>4.3999999999999997E-2</v>
      </c>
      <c r="K13">
        <v>4.2999999999999997E-2</v>
      </c>
      <c r="L13">
        <v>4.3999999999999997E-2</v>
      </c>
      <c r="M13">
        <v>4.3999999999999997E-2</v>
      </c>
      <c r="N13" t="s">
        <v>9</v>
      </c>
    </row>
    <row r="14" spans="1:14">
      <c r="A14" t="s">
        <v>15</v>
      </c>
      <c r="B14">
        <v>5.0999999999999997E-2</v>
      </c>
      <c r="C14">
        <v>5.0999999999999997E-2</v>
      </c>
      <c r="D14">
        <v>5.1999999999999998E-2</v>
      </c>
      <c r="E14">
        <v>5.2999999999999999E-2</v>
      </c>
      <c r="F14">
        <v>5.1999999999999998E-2</v>
      </c>
      <c r="G14">
        <v>0.05</v>
      </c>
      <c r="H14">
        <v>0.05</v>
      </c>
      <c r="I14">
        <v>0.05</v>
      </c>
      <c r="J14">
        <v>5.0999999999999997E-2</v>
      </c>
      <c r="K14">
        <v>5.0999999999999997E-2</v>
      </c>
      <c r="L14">
        <v>5.2999999999999999E-2</v>
      </c>
      <c r="M14">
        <v>5.0999999999999997E-2</v>
      </c>
      <c r="N14" t="s">
        <v>8</v>
      </c>
    </row>
    <row r="15" spans="1:14">
      <c r="B15">
        <v>4.2999999999999997E-2</v>
      </c>
      <c r="C15">
        <v>4.4999999999999998E-2</v>
      </c>
      <c r="D15">
        <v>4.3999999999999997E-2</v>
      </c>
      <c r="E15">
        <v>4.2999999999999997E-2</v>
      </c>
      <c r="F15">
        <v>4.3999999999999997E-2</v>
      </c>
      <c r="G15">
        <v>4.2000000000000003E-2</v>
      </c>
      <c r="H15">
        <v>4.2000000000000003E-2</v>
      </c>
      <c r="I15">
        <v>4.2999999999999997E-2</v>
      </c>
      <c r="J15">
        <v>4.3999999999999997E-2</v>
      </c>
      <c r="K15">
        <v>4.4999999999999998E-2</v>
      </c>
      <c r="L15">
        <v>4.5999999999999999E-2</v>
      </c>
      <c r="M15">
        <v>4.2999999999999997E-2</v>
      </c>
      <c r="N15" t="s">
        <v>9</v>
      </c>
    </row>
    <row r="16" spans="1:14">
      <c r="A16" t="s">
        <v>16</v>
      </c>
      <c r="B16">
        <v>5.5E-2</v>
      </c>
      <c r="C16">
        <v>5.1999999999999998E-2</v>
      </c>
      <c r="D16">
        <v>5.0999999999999997E-2</v>
      </c>
      <c r="E16">
        <v>5.0999999999999997E-2</v>
      </c>
      <c r="F16">
        <v>5.1999999999999998E-2</v>
      </c>
      <c r="G16">
        <v>5.0999999999999997E-2</v>
      </c>
      <c r="H16">
        <v>5.0999999999999997E-2</v>
      </c>
      <c r="I16">
        <v>0.05</v>
      </c>
      <c r="J16">
        <v>5.0999999999999997E-2</v>
      </c>
      <c r="K16">
        <v>5.0999999999999997E-2</v>
      </c>
      <c r="L16">
        <v>5.0999999999999997E-2</v>
      </c>
      <c r="M16">
        <v>0.05</v>
      </c>
      <c r="N16" t="s">
        <v>8</v>
      </c>
    </row>
    <row r="17" spans="2:14">
      <c r="B17">
        <v>4.7E-2</v>
      </c>
      <c r="C17">
        <v>4.4999999999999998E-2</v>
      </c>
      <c r="D17">
        <v>4.4999999999999998E-2</v>
      </c>
      <c r="E17">
        <v>4.5999999999999999E-2</v>
      </c>
      <c r="F17">
        <v>4.4999999999999998E-2</v>
      </c>
      <c r="G17">
        <v>4.2999999999999997E-2</v>
      </c>
      <c r="H17">
        <v>4.3999999999999997E-2</v>
      </c>
      <c r="I17">
        <v>4.2999999999999997E-2</v>
      </c>
      <c r="J17">
        <v>4.3999999999999997E-2</v>
      </c>
      <c r="K17">
        <v>4.4999999999999998E-2</v>
      </c>
      <c r="L17">
        <v>4.3999999999999997E-2</v>
      </c>
      <c r="M17">
        <v>4.2999999999999997E-2</v>
      </c>
      <c r="N17" t="s">
        <v>9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β-gal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NAKAMURA Yusaku</dc:creator>
  <cp:lastModifiedBy>NAKAMURA Yusaku</cp:lastModifiedBy>
  <dcterms:created xsi:type="dcterms:W3CDTF">2024-05-16T06:19:04Z</dcterms:created>
  <dcterms:modified xsi:type="dcterms:W3CDTF">2024-06-11T01:14:45Z</dcterms:modified>
</cp:coreProperties>
</file>