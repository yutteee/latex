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2/"/>
    </mc:Choice>
  </mc:AlternateContent>
  <xr:revisionPtr revIDLastSave="0" documentId="13_ncr:1_{E7FA4277-60E6-A041-8567-83C72A69AF4F}" xr6:coauthVersionLast="47" xr6:coauthVersionMax="47" xr10:uidLastSave="{00000000-0000-0000-0000-000000000000}"/>
  <bookViews>
    <workbookView xWindow="0" yWindow="760" windowWidth="34560" windowHeight="21580" xr2:uid="{ABCED2C2-581E-3E46-85AF-6B7CEDE8DF72}"/>
  </bookViews>
  <sheets>
    <sheet name="Sheet1" sheetId="1" r:id="rId1"/>
    <sheet name="b-gal blank" sheetId="2" r:id="rId2"/>
    <sheet name="b-g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E43" i="1"/>
  <c r="E45" i="1"/>
  <c r="C45" i="1"/>
  <c r="E44" i="1"/>
  <c r="D44" i="1"/>
  <c r="C44" i="1"/>
  <c r="B44" i="1"/>
  <c r="E42" i="1"/>
  <c r="C42" i="1"/>
  <c r="F24" i="1"/>
  <c r="D25" i="1"/>
  <c r="E47" i="1" s="1"/>
  <c r="E25" i="1"/>
  <c r="C25" i="1"/>
  <c r="D24" i="1"/>
  <c r="E24" i="1"/>
  <c r="C24" i="1"/>
  <c r="D23" i="1"/>
  <c r="D46" i="1" s="1"/>
  <c r="E23" i="1"/>
  <c r="C23" i="1"/>
  <c r="D22" i="1"/>
  <c r="E22" i="1"/>
  <c r="C22" i="1"/>
  <c r="D21" i="1"/>
  <c r="E21" i="1"/>
  <c r="C21" i="1"/>
  <c r="D20" i="1"/>
  <c r="B46" i="1" s="1"/>
  <c r="E20" i="1"/>
  <c r="C20" i="1"/>
  <c r="F20" i="1" s="1"/>
  <c r="C46" i="1" l="1"/>
  <c r="F23" i="1"/>
  <c r="E46" i="1"/>
  <c r="F25" i="1"/>
  <c r="F22" i="1"/>
  <c r="C47" i="1"/>
  <c r="F21" i="1"/>
</calcChain>
</file>

<file path=xl/sharedStrings.xml><?xml version="1.0" encoding="utf-8"?>
<sst xmlns="http://schemas.openxmlformats.org/spreadsheetml/2006/main" count="102" uniqueCount="35">
  <si>
    <t>ホタルルシフェラーゼアッセイ</t>
  </si>
  <si>
    <t>ホタルルシフェラーゼアッセイ</t>
    <phoneticPr fontId="1"/>
  </si>
  <si>
    <t>DCAなし</t>
    <phoneticPr fontId="1"/>
  </si>
  <si>
    <t>DCAあり</t>
    <phoneticPr fontId="1"/>
  </si>
  <si>
    <t>DNAなし</t>
    <phoneticPr fontId="1"/>
  </si>
  <si>
    <t>DNAあり</t>
    <phoneticPr fontId="1"/>
  </si>
  <si>
    <t>β- galアッセイ</t>
    <phoneticPr fontId="1"/>
  </si>
  <si>
    <t>A</t>
  </si>
  <si>
    <t>B</t>
  </si>
  <si>
    <t>C</t>
  </si>
  <si>
    <t>D</t>
  </si>
  <si>
    <t>E</t>
  </si>
  <si>
    <t>F</t>
  </si>
  <si>
    <t>Results</t>
  </si>
  <si>
    <t>Read 1:415</t>
  </si>
  <si>
    <t>Read 2:655</t>
  </si>
  <si>
    <t>G</t>
  </si>
  <si>
    <t>H</t>
  </si>
  <si>
    <t>n1</t>
    <phoneticPr fontId="1"/>
  </si>
  <si>
    <t>n2</t>
    <phoneticPr fontId="1"/>
  </si>
  <si>
    <t>n3</t>
    <phoneticPr fontId="1"/>
  </si>
  <si>
    <t>blank</t>
    <phoneticPr fontId="1"/>
  </si>
  <si>
    <t>Luc activity</t>
    <phoneticPr fontId="1"/>
  </si>
  <si>
    <t>ave</t>
    <phoneticPr fontId="1"/>
  </si>
  <si>
    <t>多分cellを入れ忘れた</t>
    <rPh sb="0" eb="2">
      <t xml:space="preserve">タブン </t>
    </rPh>
    <rPh sb="7" eb="8">
      <t xml:space="preserve">イレワスレタ </t>
    </rPh>
    <phoneticPr fontId="1"/>
  </si>
  <si>
    <t>結果まとめ</t>
    <rPh sb="0" eb="2">
      <t xml:space="preserve">ケッカ </t>
    </rPh>
    <phoneticPr fontId="1"/>
  </si>
  <si>
    <t>DCA</t>
    <phoneticPr fontId="1"/>
  </si>
  <si>
    <t>DNA</t>
    <phoneticPr fontId="1"/>
  </si>
  <si>
    <t>x</t>
    <phoneticPr fontId="1"/>
  </si>
  <si>
    <t>o</t>
    <phoneticPr fontId="1"/>
  </si>
  <si>
    <t>x2</t>
    <phoneticPr fontId="1"/>
  </si>
  <si>
    <t>β-galアッセイ</t>
    <phoneticPr fontId="1"/>
  </si>
  <si>
    <t>誤差</t>
    <rPh sb="0" eb="2">
      <t xml:space="preserve">ゴサ </t>
    </rPh>
    <phoneticPr fontId="1"/>
  </si>
  <si>
    <t>誤差</t>
    <rPh sb="0" eb="1">
      <t xml:space="preserve">ゴサ </t>
    </rPh>
    <phoneticPr fontId="1"/>
  </si>
  <si>
    <t>DCA添加</t>
    <rPh sb="3" eb="5">
      <t xml:space="preserve">テンカ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</si>
</sst>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Sheet1!$B$47:$E$47</c:f>
                <c:numCache>
                  <c:formatCode>General</c:formatCode>
                  <c:ptCount val="4"/>
                  <c:pt idx="1">
                    <c:v>63023.584905660333</c:v>
                  </c:pt>
                  <c:pt idx="3">
                    <c:v>273944.82758620707</c:v>
                  </c:pt>
                </c:numCache>
              </c:numRef>
            </c:plus>
            <c:minus>
              <c:numRef>
                <c:f>Sheet1!$B$47:$E$47</c:f>
                <c:numCache>
                  <c:formatCode>General</c:formatCode>
                  <c:ptCount val="4"/>
                  <c:pt idx="1">
                    <c:v>63023.584905660333</c:v>
                  </c:pt>
                  <c:pt idx="3">
                    <c:v>273944.82758620707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Sheet1!$C$53:$F$53</c:f>
              <c:strCache>
                <c:ptCount val="4"/>
                <c:pt idx="0">
                  <c:v>DNAなし</c:v>
                </c:pt>
                <c:pt idx="1">
                  <c:v>DNAあり</c:v>
                </c:pt>
                <c:pt idx="2">
                  <c:v>DNAなし</c:v>
                </c:pt>
                <c:pt idx="3">
                  <c:v>DNAあり</c:v>
                </c:pt>
              </c:strCache>
            </c:strRef>
          </c:cat>
          <c:val>
            <c:numRef>
              <c:f>Sheet1!$B$46:$E$46</c:f>
              <c:numCache>
                <c:formatCode>General</c:formatCode>
                <c:ptCount val="4"/>
                <c:pt idx="0">
                  <c:v>500.0000000000004</c:v>
                </c:pt>
                <c:pt idx="1">
                  <c:v>183523.58490566039</c:v>
                </c:pt>
                <c:pt idx="2">
                  <c:v>1999.9999999999982</c:v>
                </c:pt>
                <c:pt idx="3">
                  <c:v>4609255.1724137943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4-6146-A48A-5C7A9138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03887"/>
        <c:axId val="47152175"/>
      </c:barChart>
      <c:catAx>
        <c:axId val="469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7152175"/>
        <c:crosses val="autoZero"/>
        <c:auto val="1"/>
        <c:lblAlgn val="ctr"/>
        <c:lblOffset val="100"/>
        <c:noMultiLvlLbl val="0"/>
      </c:catAx>
      <c:valAx>
        <c:axId val="47152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Bioluminescence intensity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690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Sheet1!$B$45:$E$45</c:f>
                <c:numCache>
                  <c:formatCode>General</c:formatCode>
                  <c:ptCount val="4"/>
                  <c:pt idx="1">
                    <c:v>5.0000000000000044E-3</c:v>
                  </c:pt>
                  <c:pt idx="3">
                    <c:v>9.0000000000000011E-3</c:v>
                  </c:pt>
                </c:numCache>
              </c:numRef>
            </c:plus>
            <c:minus>
              <c:numRef>
                <c:f>Sheet1!$B$45:$E$45</c:f>
                <c:numCache>
                  <c:formatCode>General</c:formatCode>
                  <c:ptCount val="4"/>
                  <c:pt idx="1">
                    <c:v>5.0000000000000044E-3</c:v>
                  </c:pt>
                  <c:pt idx="3">
                    <c:v>9.0000000000000011E-3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Sheet1!$B$44:$E$44</c:f>
              <c:numCache>
                <c:formatCode>General</c:formatCode>
                <c:ptCount val="4"/>
                <c:pt idx="0">
                  <c:v>5.0999999999999997E-2</c:v>
                </c:pt>
                <c:pt idx="1">
                  <c:v>0.14799999999999999</c:v>
                </c:pt>
                <c:pt idx="2">
                  <c:v>4.8000000000000001E-2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C-BF46-8252-50399DFF3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921535"/>
        <c:axId val="216923247"/>
      </c:barChart>
      <c:catAx>
        <c:axId val="21692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6923247"/>
        <c:crosses val="autoZero"/>
        <c:auto val="1"/>
        <c:lblAlgn val="ctr"/>
        <c:lblOffset val="100"/>
        <c:noMultiLvlLbl val="0"/>
      </c:catAx>
      <c:valAx>
        <c:axId val="216923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Absorbance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692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ja-JP"/>
              <a:t>ホタルルシフェラーゼアッセイ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Sheet1!$B$43:$E$43</c:f>
                <c:numCache>
                  <c:formatCode>General</c:formatCode>
                  <c:ptCount val="4"/>
                  <c:pt idx="1">
                    <c:v>7283</c:v>
                  </c:pt>
                  <c:pt idx="3">
                    <c:v>28060</c:v>
                  </c:pt>
                </c:numCache>
              </c:numRef>
            </c:plus>
            <c:minus>
              <c:numRef>
                <c:f>Sheet1!$B$43:$E$43</c:f>
                <c:numCache>
                  <c:formatCode>General</c:formatCode>
                  <c:ptCount val="4"/>
                  <c:pt idx="1">
                    <c:v>7283</c:v>
                  </c:pt>
                  <c:pt idx="3">
                    <c:v>28060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Sheet1!$B$42:$E$42</c:f>
              <c:numCache>
                <c:formatCode>General</c:formatCode>
                <c:ptCount val="4"/>
                <c:pt idx="0">
                  <c:v>2</c:v>
                </c:pt>
                <c:pt idx="1">
                  <c:v>18851</c:v>
                </c:pt>
                <c:pt idx="2">
                  <c:v>2</c:v>
                </c:pt>
                <c:pt idx="3">
                  <c:v>223388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0-A044-AB5B-945E51F5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33759"/>
        <c:axId val="138547903"/>
      </c:barChart>
      <c:catAx>
        <c:axId val="13903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8547903"/>
        <c:crosses val="autoZero"/>
        <c:auto val="1"/>
        <c:lblAlgn val="ctr"/>
        <c:lblOffset val="100"/>
        <c:noMultiLvlLbl val="0"/>
      </c:catAx>
      <c:valAx>
        <c:axId val="138547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Bioluminescence intensity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03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901910</xdr:colOff>
      <xdr:row>40</xdr:row>
      <xdr:rowOff>249908</xdr:rowOff>
    </xdr:from>
    <xdr:to>
      <xdr:col>14</xdr:col>
      <xdr:colOff>368115</xdr:colOff>
      <xdr:row>56</xdr:row>
      <xdr:rowOff>73622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56EE965-F1C9-CB4C-1171-A7EF5C946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906972</xdr:colOff>
      <xdr:row>27</xdr:row>
      <xdr:rowOff>96088</xdr:rowOff>
    </xdr:from>
    <xdr:to>
      <xdr:col>14</xdr:col>
      <xdr:colOff>386521</xdr:colOff>
      <xdr:row>40</xdr:row>
      <xdr:rowOff>55218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77E9DAE-45D6-243F-9EBE-C14653EB6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883008</xdr:colOff>
      <xdr:row>11</xdr:row>
      <xdr:rowOff>239275</xdr:rowOff>
    </xdr:from>
    <xdr:to>
      <xdr:col>14</xdr:col>
      <xdr:colOff>386521</xdr:colOff>
      <xdr:row>26</xdr:row>
      <xdr:rowOff>107829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EE836D1-EC55-90D0-53BD-072848025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ADD2-5DFA-0040-BDCE-2AA2CC07D27C}">
  <dimension ref="A1:F54"/>
  <sheetViews>
    <sheetView tabSelected="1" topLeftCell="A23" zoomScale="106" zoomScaleNormal="133" workbookViewId="0">
      <selection activeCell="F43" sqref="F43"/>
    </sheetView>
  </sheetViews>
  <sheetFormatPr baseColWidth="10" defaultRowHeight="20"/>
  <cols>
    <col min="1" max="1" width="18" customWidth="1"/>
    <col min="2" max="2" width="12.7109375" bestFit="1" customWidth="1"/>
    <col min="5" max="5" width="11.7109375" bestFit="1" customWidth="1"/>
    <col min="6" max="6" width="12.7109375" bestFit="1" customWidth="1"/>
  </cols>
  <sheetData>
    <row r="1" spans="1:5">
      <c r="A1" t="s">
        <v>1</v>
      </c>
    </row>
    <row r="2" spans="1:5">
      <c r="A2" s="1"/>
      <c r="B2" s="1" t="s">
        <v>2</v>
      </c>
      <c r="C2" s="1" t="s">
        <v>3</v>
      </c>
    </row>
    <row r="3" spans="1:5">
      <c r="A3" s="4" t="s">
        <v>4</v>
      </c>
      <c r="B3" s="4">
        <v>2</v>
      </c>
      <c r="C3" s="4">
        <v>2</v>
      </c>
    </row>
    <row r="4" spans="1:5">
      <c r="A4" s="4" t="s">
        <v>5</v>
      </c>
      <c r="B4" s="4">
        <v>26134</v>
      </c>
      <c r="C4" s="9">
        <v>251448</v>
      </c>
    </row>
    <row r="5" spans="1:5">
      <c r="A5" s="5"/>
      <c r="B5" s="5">
        <v>11568</v>
      </c>
      <c r="C5" s="10">
        <v>195328</v>
      </c>
    </row>
    <row r="8" spans="1:5">
      <c r="A8" t="s">
        <v>6</v>
      </c>
    </row>
    <row r="9" spans="1:5">
      <c r="A9" s="13"/>
      <c r="B9" s="3"/>
      <c r="C9" s="3" t="s">
        <v>18</v>
      </c>
      <c r="D9" s="16" t="s">
        <v>19</v>
      </c>
      <c r="E9" s="1" t="s">
        <v>20</v>
      </c>
    </row>
    <row r="10" spans="1:5">
      <c r="A10" s="8" t="s">
        <v>21</v>
      </c>
      <c r="B10" s="10"/>
      <c r="C10" s="3">
        <v>5.1999999999999998E-2</v>
      </c>
      <c r="D10" s="16">
        <v>4.7E-2</v>
      </c>
      <c r="E10" s="1">
        <v>0.05</v>
      </c>
    </row>
    <row r="11" spans="1:5">
      <c r="A11" s="6" t="s">
        <v>2</v>
      </c>
      <c r="B11" s="6" t="s">
        <v>4</v>
      </c>
      <c r="C11" s="9">
        <v>0.05</v>
      </c>
      <c r="D11" s="17">
        <v>5.0999999999999997E-2</v>
      </c>
      <c r="E11" s="4">
        <v>5.3999999999999999E-2</v>
      </c>
    </row>
    <row r="12" spans="1:5">
      <c r="A12" s="6"/>
      <c r="B12" s="7" t="s">
        <v>5</v>
      </c>
      <c r="C12" s="7">
        <v>0.224</v>
      </c>
      <c r="D12" s="17">
        <v>0.153</v>
      </c>
      <c r="E12" s="9">
        <v>0.14000000000000001</v>
      </c>
    </row>
    <row r="13" spans="1:5">
      <c r="A13" s="6"/>
      <c r="B13" s="8"/>
      <c r="C13" s="14">
        <v>5.0999999999999997E-2</v>
      </c>
      <c r="D13" s="18">
        <v>0.14299999999999999</v>
      </c>
      <c r="E13" s="10">
        <v>8.7999999999999995E-2</v>
      </c>
    </row>
    <row r="14" spans="1:5">
      <c r="A14" s="4" t="s">
        <v>3</v>
      </c>
      <c r="B14" s="12" t="s">
        <v>4</v>
      </c>
      <c r="C14" s="6">
        <v>4.9000000000000002E-2</v>
      </c>
      <c r="D14" s="19">
        <v>4.8000000000000001E-2</v>
      </c>
      <c r="E14" s="6">
        <v>4.9000000000000002E-2</v>
      </c>
    </row>
    <row r="15" spans="1:5">
      <c r="A15" s="11"/>
      <c r="B15" s="7" t="s">
        <v>5</v>
      </c>
      <c r="C15" s="7">
        <v>0.11</v>
      </c>
      <c r="D15" s="17">
        <v>0.105</v>
      </c>
      <c r="E15" s="9">
        <v>0.10100000000000001</v>
      </c>
    </row>
    <row r="16" spans="1:5">
      <c r="A16" s="8"/>
      <c r="B16" s="8"/>
      <c r="C16" s="8">
        <v>9.4E-2</v>
      </c>
      <c r="D16" s="18">
        <v>8.6999999999999994E-2</v>
      </c>
      <c r="E16" s="10">
        <v>8.5000000000000006E-2</v>
      </c>
    </row>
    <row r="18" spans="1:6">
      <c r="A18" t="s">
        <v>22</v>
      </c>
    </row>
    <row r="19" spans="1:6">
      <c r="A19" s="13"/>
      <c r="B19" s="3"/>
      <c r="C19" s="3" t="s">
        <v>18</v>
      </c>
      <c r="D19" s="16" t="s">
        <v>19</v>
      </c>
      <c r="E19" s="1" t="s">
        <v>20</v>
      </c>
      <c r="F19" s="1" t="s">
        <v>23</v>
      </c>
    </row>
    <row r="20" spans="1:6">
      <c r="A20" s="6" t="s">
        <v>2</v>
      </c>
      <c r="B20" s="6" t="s">
        <v>4</v>
      </c>
      <c r="C20" s="1">
        <f>2/(C11-C10)</f>
        <v>-1000.0000000000026</v>
      </c>
      <c r="D20" s="20">
        <f t="shared" ref="D20:E20" si="0">2/(D11-D10)</f>
        <v>500.0000000000004</v>
      </c>
      <c r="E20" s="3">
        <f t="shared" si="0"/>
        <v>500.0000000000004</v>
      </c>
      <c r="F20" s="1">
        <f>(C20+D20+E20)/3</f>
        <v>-6.0632980118195212E-13</v>
      </c>
    </row>
    <row r="21" spans="1:6">
      <c r="A21" s="6"/>
      <c r="B21" s="7" t="s">
        <v>5</v>
      </c>
      <c r="C21" s="7">
        <f>26134/(C12-C10)</f>
        <v>151941.86046511628</v>
      </c>
      <c r="D21" s="21">
        <f t="shared" ref="D21:E21" si="1">26134/(D12-D10)</f>
        <v>246547.16981132075</v>
      </c>
      <c r="E21" s="4">
        <f t="shared" si="1"/>
        <v>290377.77777777775</v>
      </c>
      <c r="F21" s="1">
        <f t="shared" ref="F21:F25" si="2">(C21+D21+E21)/3</f>
        <v>229622.26935140495</v>
      </c>
    </row>
    <row r="22" spans="1:6">
      <c r="A22" s="6"/>
      <c r="B22" s="8"/>
      <c r="C22" s="14">
        <f>11568/(C13-C10)</f>
        <v>-11567999.999999989</v>
      </c>
      <c r="D22" s="22">
        <f t="shared" ref="D22:E22" si="3">11568/(D13-D10)</f>
        <v>120500.00000000001</v>
      </c>
      <c r="E22" s="5">
        <f t="shared" si="3"/>
        <v>304421.05263157899</v>
      </c>
      <c r="F22" s="1">
        <f>(D22+E22)/2</f>
        <v>212460.5263157895</v>
      </c>
    </row>
    <row r="23" spans="1:6">
      <c r="A23" s="4" t="s">
        <v>3</v>
      </c>
      <c r="B23" s="12" t="s">
        <v>4</v>
      </c>
      <c r="C23" s="6">
        <f>2/(C14-C10)</f>
        <v>-666.66666666666765</v>
      </c>
      <c r="D23" s="19">
        <f t="shared" ref="D23:E23" si="4">2/(D14-D10)</f>
        <v>1999.9999999999982</v>
      </c>
      <c r="E23" s="6">
        <f t="shared" si="4"/>
        <v>-1999.9999999999982</v>
      </c>
      <c r="F23" s="1">
        <f t="shared" si="2"/>
        <v>-222.22222222222254</v>
      </c>
    </row>
    <row r="24" spans="1:6">
      <c r="A24" s="11"/>
      <c r="B24" s="7" t="s">
        <v>5</v>
      </c>
      <c r="C24" s="7">
        <f>251448/(C15-C10)</f>
        <v>4335310.3448275859</v>
      </c>
      <c r="D24" s="21">
        <f t="shared" ref="D24:E24" si="5">251448/(D15-D10)</f>
        <v>4335310.3448275868</v>
      </c>
      <c r="E24" s="4">
        <f t="shared" si="5"/>
        <v>4930352.9411764704</v>
      </c>
      <c r="F24" s="1">
        <f t="shared" si="2"/>
        <v>4533657.8769438816</v>
      </c>
    </row>
    <row r="25" spans="1:6">
      <c r="A25" s="8"/>
      <c r="B25" s="8"/>
      <c r="C25" s="8">
        <f>195328/(C16-C10)</f>
        <v>4650666.666666666</v>
      </c>
      <c r="D25" s="22">
        <f t="shared" ref="D25:E25" si="6">195328/(D16-D10)</f>
        <v>4883200.0000000009</v>
      </c>
      <c r="E25" s="5">
        <f t="shared" si="6"/>
        <v>5580799.9999999991</v>
      </c>
      <c r="F25" s="1">
        <f t="shared" si="2"/>
        <v>5038222.2222222229</v>
      </c>
    </row>
    <row r="27" spans="1:6">
      <c r="A27" s="15" t="s">
        <v>24</v>
      </c>
    </row>
    <row r="32" spans="1:6">
      <c r="A32" t="s">
        <v>25</v>
      </c>
    </row>
    <row r="33" spans="1:5">
      <c r="A33" s="1"/>
      <c r="B33" s="1" t="s">
        <v>26</v>
      </c>
      <c r="C33" s="1" t="s">
        <v>27</v>
      </c>
      <c r="D33" s="1"/>
    </row>
    <row r="34" spans="1:5">
      <c r="A34" s="1">
        <v>1</v>
      </c>
      <c r="B34" s="1" t="s">
        <v>28</v>
      </c>
      <c r="C34" s="1" t="s">
        <v>28</v>
      </c>
      <c r="D34" s="1"/>
    </row>
    <row r="35" spans="1:5">
      <c r="A35" s="1">
        <v>2</v>
      </c>
      <c r="B35" s="1" t="s">
        <v>28</v>
      </c>
      <c r="C35" s="1" t="s">
        <v>29</v>
      </c>
      <c r="D35" s="1" t="s">
        <v>30</v>
      </c>
    </row>
    <row r="36" spans="1:5">
      <c r="A36" s="1">
        <v>3</v>
      </c>
      <c r="B36" s="1" t="s">
        <v>29</v>
      </c>
      <c r="C36" s="1" t="s">
        <v>28</v>
      </c>
      <c r="D36" s="1"/>
    </row>
    <row r="37" spans="1:5">
      <c r="A37" s="1">
        <v>4</v>
      </c>
      <c r="B37" s="1" t="s">
        <v>29</v>
      </c>
      <c r="C37" s="1" t="s">
        <v>29</v>
      </c>
      <c r="D37" s="1" t="s">
        <v>30</v>
      </c>
    </row>
    <row r="41" spans="1:5">
      <c r="B41">
        <v>1</v>
      </c>
      <c r="C41">
        <v>2</v>
      </c>
      <c r="D41">
        <v>3</v>
      </c>
      <c r="E41">
        <v>4</v>
      </c>
    </row>
    <row r="42" spans="1:5">
      <c r="A42" t="s">
        <v>0</v>
      </c>
      <c r="B42">
        <v>2</v>
      </c>
      <c r="C42">
        <f>(B4+B5) / 2</f>
        <v>18851</v>
      </c>
      <c r="D42">
        <v>2</v>
      </c>
      <c r="E42">
        <f>(C4+C5)/2</f>
        <v>223388</v>
      </c>
    </row>
    <row r="43" spans="1:5">
      <c r="C43">
        <f>_xlfn.STDEV.P(B4:B5)</f>
        <v>7283</v>
      </c>
      <c r="E43">
        <f>_xlfn.STDEV.P(C4:C5)</f>
        <v>28060</v>
      </c>
    </row>
    <row r="44" spans="1:5">
      <c r="A44" t="s">
        <v>31</v>
      </c>
      <c r="B44">
        <f>D11</f>
        <v>5.0999999999999997E-2</v>
      </c>
      <c r="C44">
        <f>AVERAGE(D12:D13)</f>
        <v>0.14799999999999999</v>
      </c>
      <c r="D44">
        <f>D14</f>
        <v>4.8000000000000001E-2</v>
      </c>
      <c r="E44">
        <f>AVERAGE(D15:D16)</f>
        <v>9.6000000000000002E-2</v>
      </c>
    </row>
    <row r="45" spans="1:5">
      <c r="A45" t="s">
        <v>33</v>
      </c>
      <c r="C45">
        <f>_xlfn.STDEV.P(D12:D13)</f>
        <v>5.0000000000000044E-3</v>
      </c>
      <c r="E45">
        <f>_xlfn.STDEV.P(D15:D16)</f>
        <v>9.0000000000000011E-3</v>
      </c>
    </row>
    <row r="46" spans="1:5">
      <c r="A46" t="s">
        <v>22</v>
      </c>
      <c r="B46">
        <f>D20</f>
        <v>500.0000000000004</v>
      </c>
      <c r="C46">
        <f>(D21+D22)/2</f>
        <v>183523.58490566039</v>
      </c>
      <c r="D46">
        <f>D23</f>
        <v>1999.9999999999982</v>
      </c>
      <c r="E46">
        <f>AVERAGE(D24:D25)</f>
        <v>4609255.1724137943</v>
      </c>
    </row>
    <row r="47" spans="1:5">
      <c r="A47" t="s">
        <v>32</v>
      </c>
      <c r="C47">
        <f>_xlfn.STDEV.P(D21:D22)</f>
        <v>63023.584905660333</v>
      </c>
      <c r="E47">
        <f>_xlfn.STDEV.P(D24:D25)</f>
        <v>273944.82758620707</v>
      </c>
    </row>
    <row r="53" spans="3:6">
      <c r="C53" t="s">
        <v>4</v>
      </c>
      <c r="D53" t="s">
        <v>5</v>
      </c>
      <c r="E53" t="s">
        <v>4</v>
      </c>
      <c r="F53" t="s">
        <v>5</v>
      </c>
    </row>
    <row r="54" spans="3:6">
      <c r="E54" t="s">
        <v>34</v>
      </c>
      <c r="F54" t="s">
        <v>34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66E2-43C1-704F-8E93-EECFEB1F6321}">
  <dimension ref="A1:N18"/>
  <sheetViews>
    <sheetView workbookViewId="0">
      <selection activeCell="B7" sqref="B7:D7"/>
    </sheetView>
  </sheetViews>
  <sheetFormatPr baseColWidth="10" defaultRowHeight="20"/>
  <sheetData>
    <row r="1" spans="1:14">
      <c r="A1" t="s">
        <v>13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A3" t="s">
        <v>7</v>
      </c>
      <c r="B3">
        <v>0.05</v>
      </c>
      <c r="C3">
        <v>0.05</v>
      </c>
      <c r="D3">
        <v>5.0999999999999997E-2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5.0999999999999997E-2</v>
      </c>
      <c r="K3">
        <v>5.0999999999999997E-2</v>
      </c>
      <c r="L3">
        <v>5.1999999999999998E-2</v>
      </c>
      <c r="M3">
        <v>0.05</v>
      </c>
      <c r="N3" t="s">
        <v>14</v>
      </c>
    </row>
    <row r="4" spans="1:14">
      <c r="B4">
        <v>4.2000000000000003E-2</v>
      </c>
      <c r="C4">
        <v>4.3999999999999997E-2</v>
      </c>
      <c r="D4">
        <v>4.5999999999999999E-2</v>
      </c>
      <c r="E4">
        <v>4.3999999999999997E-2</v>
      </c>
      <c r="F4">
        <v>4.2999999999999997E-2</v>
      </c>
      <c r="G4">
        <v>4.2000000000000003E-2</v>
      </c>
      <c r="H4">
        <v>4.2000000000000003E-2</v>
      </c>
      <c r="I4">
        <v>4.3999999999999997E-2</v>
      </c>
      <c r="J4">
        <v>4.4999999999999998E-2</v>
      </c>
      <c r="K4">
        <v>4.4999999999999998E-2</v>
      </c>
      <c r="L4">
        <v>4.4999999999999998E-2</v>
      </c>
      <c r="M4">
        <v>4.2999999999999997E-2</v>
      </c>
      <c r="N4" t="s">
        <v>15</v>
      </c>
    </row>
    <row r="5" spans="1:14">
      <c r="A5" t="s">
        <v>8</v>
      </c>
      <c r="B5">
        <v>0.05</v>
      </c>
      <c r="C5">
        <v>0.05</v>
      </c>
      <c r="D5">
        <v>5.2999999999999999E-2</v>
      </c>
      <c r="E5">
        <v>5.0999999999999997E-2</v>
      </c>
      <c r="F5">
        <v>0.05</v>
      </c>
      <c r="G5">
        <v>0.05</v>
      </c>
      <c r="H5">
        <v>0.05</v>
      </c>
      <c r="I5">
        <v>0.05</v>
      </c>
      <c r="J5">
        <v>5.0999999999999997E-2</v>
      </c>
      <c r="K5">
        <v>5.0999999999999997E-2</v>
      </c>
      <c r="L5">
        <v>0.05</v>
      </c>
      <c r="M5">
        <v>0.05</v>
      </c>
      <c r="N5" t="s">
        <v>14</v>
      </c>
    </row>
    <row r="6" spans="1:14">
      <c r="B6">
        <v>4.2000000000000003E-2</v>
      </c>
      <c r="C6">
        <v>4.3999999999999997E-2</v>
      </c>
      <c r="D6">
        <v>4.4999999999999998E-2</v>
      </c>
      <c r="E6">
        <v>4.2000000000000003E-2</v>
      </c>
      <c r="F6">
        <v>4.2000000000000003E-2</v>
      </c>
      <c r="G6">
        <v>4.2000000000000003E-2</v>
      </c>
      <c r="H6">
        <v>4.2000000000000003E-2</v>
      </c>
      <c r="I6">
        <v>4.2999999999999997E-2</v>
      </c>
      <c r="J6">
        <v>4.2000000000000003E-2</v>
      </c>
      <c r="K6">
        <v>4.2999999999999997E-2</v>
      </c>
      <c r="L6">
        <v>4.2999999999999997E-2</v>
      </c>
      <c r="M6">
        <v>4.2000000000000003E-2</v>
      </c>
      <c r="N6" t="s">
        <v>15</v>
      </c>
    </row>
    <row r="7" spans="1:14">
      <c r="A7" t="s">
        <v>9</v>
      </c>
      <c r="B7" s="2">
        <v>5.1999999999999998E-2</v>
      </c>
      <c r="C7" s="2">
        <v>4.7E-2</v>
      </c>
      <c r="D7" s="2">
        <v>0.05</v>
      </c>
      <c r="E7">
        <v>0.05</v>
      </c>
      <c r="F7">
        <v>5.0999999999999997E-2</v>
      </c>
      <c r="G7">
        <v>4.9000000000000002E-2</v>
      </c>
      <c r="H7">
        <v>0.05</v>
      </c>
      <c r="I7">
        <v>5.0999999999999997E-2</v>
      </c>
      <c r="J7">
        <v>5.5E-2</v>
      </c>
      <c r="K7">
        <v>5.1999999999999998E-2</v>
      </c>
      <c r="L7">
        <v>5.0999999999999997E-2</v>
      </c>
      <c r="M7">
        <v>5.0999999999999997E-2</v>
      </c>
      <c r="N7" t="s">
        <v>14</v>
      </c>
    </row>
    <row r="8" spans="1:14">
      <c r="B8">
        <v>0.04</v>
      </c>
      <c r="C8">
        <v>3.7999999999999999E-2</v>
      </c>
      <c r="D8">
        <v>4.2999999999999997E-2</v>
      </c>
      <c r="E8">
        <v>4.3999999999999997E-2</v>
      </c>
      <c r="F8">
        <v>4.4999999999999998E-2</v>
      </c>
      <c r="G8">
        <v>4.2000000000000003E-2</v>
      </c>
      <c r="H8">
        <v>4.2999999999999997E-2</v>
      </c>
      <c r="I8">
        <v>4.4999999999999998E-2</v>
      </c>
      <c r="J8">
        <v>4.8000000000000001E-2</v>
      </c>
      <c r="K8">
        <v>4.4999999999999998E-2</v>
      </c>
      <c r="L8">
        <v>4.2999999999999997E-2</v>
      </c>
      <c r="M8">
        <v>4.2999999999999997E-2</v>
      </c>
      <c r="N8" t="s">
        <v>15</v>
      </c>
    </row>
    <row r="9" spans="1:14">
      <c r="A9" t="s">
        <v>10</v>
      </c>
      <c r="B9">
        <v>0.05</v>
      </c>
      <c r="C9">
        <v>0.05</v>
      </c>
      <c r="D9">
        <v>0.05</v>
      </c>
      <c r="E9">
        <v>0.05</v>
      </c>
      <c r="F9">
        <v>0.05</v>
      </c>
      <c r="G9">
        <v>0.05</v>
      </c>
      <c r="H9">
        <v>5.0999999999999997E-2</v>
      </c>
      <c r="I9">
        <v>5.0999999999999997E-2</v>
      </c>
      <c r="J9">
        <v>5.0999999999999997E-2</v>
      </c>
      <c r="K9">
        <v>0.05</v>
      </c>
      <c r="L9">
        <v>5.2999999999999999E-2</v>
      </c>
      <c r="M9">
        <v>0.05</v>
      </c>
      <c r="N9" t="s">
        <v>14</v>
      </c>
    </row>
    <row r="10" spans="1:14">
      <c r="B10">
        <v>4.2000000000000003E-2</v>
      </c>
      <c r="C10">
        <v>4.2000000000000003E-2</v>
      </c>
      <c r="D10">
        <v>4.2000000000000003E-2</v>
      </c>
      <c r="E10">
        <v>4.2999999999999997E-2</v>
      </c>
      <c r="F10">
        <v>4.2999999999999997E-2</v>
      </c>
      <c r="G10">
        <v>4.2999999999999997E-2</v>
      </c>
      <c r="H10">
        <v>4.4999999999999998E-2</v>
      </c>
      <c r="I10">
        <v>4.3999999999999997E-2</v>
      </c>
      <c r="J10">
        <v>4.2999999999999997E-2</v>
      </c>
      <c r="K10">
        <v>4.2999999999999997E-2</v>
      </c>
      <c r="L10">
        <v>4.4999999999999998E-2</v>
      </c>
      <c r="M10">
        <v>4.2000000000000003E-2</v>
      </c>
      <c r="N10" t="s">
        <v>15</v>
      </c>
    </row>
    <row r="11" spans="1:14">
      <c r="A11" t="s">
        <v>11</v>
      </c>
      <c r="B11">
        <v>0.05</v>
      </c>
      <c r="C11">
        <v>0.05</v>
      </c>
      <c r="D11">
        <v>0.05</v>
      </c>
      <c r="E11">
        <v>0.05</v>
      </c>
      <c r="F11">
        <v>5.0999999999999997E-2</v>
      </c>
      <c r="G11">
        <v>5.2999999999999999E-2</v>
      </c>
      <c r="H11">
        <v>4.9000000000000002E-2</v>
      </c>
      <c r="I11">
        <v>5.0999999999999997E-2</v>
      </c>
      <c r="J11">
        <v>0.05</v>
      </c>
      <c r="K11">
        <v>5.0999999999999997E-2</v>
      </c>
      <c r="L11">
        <v>5.5E-2</v>
      </c>
      <c r="M11">
        <v>5.0999999999999997E-2</v>
      </c>
      <c r="N11" t="s">
        <v>14</v>
      </c>
    </row>
    <row r="12" spans="1:14">
      <c r="B12">
        <v>4.2000000000000003E-2</v>
      </c>
      <c r="C12">
        <v>4.2000000000000003E-2</v>
      </c>
      <c r="D12">
        <v>4.2000000000000003E-2</v>
      </c>
      <c r="E12">
        <v>4.2000000000000003E-2</v>
      </c>
      <c r="F12">
        <v>4.2999999999999997E-2</v>
      </c>
      <c r="G12">
        <v>4.5999999999999999E-2</v>
      </c>
      <c r="H12">
        <v>4.2000000000000003E-2</v>
      </c>
      <c r="I12">
        <v>4.3999999999999997E-2</v>
      </c>
      <c r="J12">
        <v>4.2999999999999997E-2</v>
      </c>
      <c r="K12">
        <v>4.3999999999999997E-2</v>
      </c>
      <c r="L12">
        <v>4.5999999999999999E-2</v>
      </c>
      <c r="M12">
        <v>4.2999999999999997E-2</v>
      </c>
      <c r="N12" t="s">
        <v>15</v>
      </c>
    </row>
    <row r="13" spans="1:14">
      <c r="A13" t="s">
        <v>12</v>
      </c>
      <c r="B13">
        <v>4.9000000000000002E-2</v>
      </c>
      <c r="C13">
        <v>0.05</v>
      </c>
      <c r="D13">
        <v>5.0999999999999997E-2</v>
      </c>
      <c r="E13">
        <v>0.05</v>
      </c>
      <c r="F13">
        <v>5.1999999999999998E-2</v>
      </c>
      <c r="G13">
        <v>5.1999999999999998E-2</v>
      </c>
      <c r="H13">
        <v>5.0999999999999997E-2</v>
      </c>
      <c r="I13">
        <v>5.0999999999999997E-2</v>
      </c>
      <c r="J13">
        <v>5.0999999999999997E-2</v>
      </c>
      <c r="K13">
        <v>0.05</v>
      </c>
      <c r="L13">
        <v>5.0999999999999997E-2</v>
      </c>
      <c r="M13">
        <v>5.1999999999999998E-2</v>
      </c>
      <c r="N13" t="s">
        <v>14</v>
      </c>
    </row>
    <row r="14" spans="1:14">
      <c r="B14">
        <v>4.2000000000000003E-2</v>
      </c>
      <c r="C14">
        <v>4.2999999999999997E-2</v>
      </c>
      <c r="D14">
        <v>4.2999999999999997E-2</v>
      </c>
      <c r="E14">
        <v>4.3999999999999997E-2</v>
      </c>
      <c r="F14">
        <v>4.5999999999999999E-2</v>
      </c>
      <c r="G14">
        <v>4.3999999999999997E-2</v>
      </c>
      <c r="H14">
        <v>4.2999999999999997E-2</v>
      </c>
      <c r="I14">
        <v>4.3999999999999997E-2</v>
      </c>
      <c r="J14">
        <v>4.4999999999999998E-2</v>
      </c>
      <c r="K14">
        <v>4.2999999999999997E-2</v>
      </c>
      <c r="L14">
        <v>4.3999999999999997E-2</v>
      </c>
      <c r="M14">
        <v>4.3999999999999997E-2</v>
      </c>
      <c r="N14" t="s">
        <v>15</v>
      </c>
    </row>
    <row r="15" spans="1:14">
      <c r="A15" t="s">
        <v>16</v>
      </c>
      <c r="B15">
        <v>0.05</v>
      </c>
      <c r="C15">
        <v>0.05</v>
      </c>
      <c r="D15">
        <v>0.05</v>
      </c>
      <c r="E15">
        <v>5.0999999999999997E-2</v>
      </c>
      <c r="F15">
        <v>5.0999999999999997E-2</v>
      </c>
      <c r="G15">
        <v>4.9000000000000002E-2</v>
      </c>
      <c r="H15">
        <v>0.05</v>
      </c>
      <c r="I15">
        <v>5.0999999999999997E-2</v>
      </c>
      <c r="J15">
        <v>5.1999999999999998E-2</v>
      </c>
      <c r="K15">
        <v>0.05</v>
      </c>
      <c r="L15">
        <v>5.1999999999999998E-2</v>
      </c>
      <c r="M15">
        <v>5.3999999999999999E-2</v>
      </c>
      <c r="N15" t="s">
        <v>14</v>
      </c>
    </row>
    <row r="16" spans="1:14">
      <c r="B16">
        <v>4.2999999999999997E-2</v>
      </c>
      <c r="C16">
        <v>4.3999999999999997E-2</v>
      </c>
      <c r="D16">
        <v>4.2999999999999997E-2</v>
      </c>
      <c r="E16">
        <v>4.2000000000000003E-2</v>
      </c>
      <c r="F16">
        <v>4.2999999999999997E-2</v>
      </c>
      <c r="G16">
        <v>4.2000000000000003E-2</v>
      </c>
      <c r="H16">
        <v>4.2000000000000003E-2</v>
      </c>
      <c r="I16">
        <v>4.2999999999999997E-2</v>
      </c>
      <c r="J16">
        <v>4.2999999999999997E-2</v>
      </c>
      <c r="K16">
        <v>4.2999999999999997E-2</v>
      </c>
      <c r="L16">
        <v>4.5999999999999999E-2</v>
      </c>
      <c r="M16">
        <v>4.7E-2</v>
      </c>
      <c r="N16" t="s">
        <v>15</v>
      </c>
    </row>
    <row r="17" spans="1:14">
      <c r="A17" t="s">
        <v>17</v>
      </c>
      <c r="B17">
        <v>0.05</v>
      </c>
      <c r="C17">
        <v>0.05</v>
      </c>
      <c r="D17">
        <v>0.05</v>
      </c>
      <c r="E17">
        <v>5.0999999999999997E-2</v>
      </c>
      <c r="F17">
        <v>5.0999999999999997E-2</v>
      </c>
      <c r="G17">
        <v>0.05</v>
      </c>
      <c r="H17">
        <v>0.05</v>
      </c>
      <c r="I17">
        <v>5.0999999999999997E-2</v>
      </c>
      <c r="J17">
        <v>0.05</v>
      </c>
      <c r="K17">
        <v>0.05</v>
      </c>
      <c r="L17">
        <v>5.0999999999999997E-2</v>
      </c>
      <c r="M17">
        <v>0.05</v>
      </c>
      <c r="N17" t="s">
        <v>14</v>
      </c>
    </row>
    <row r="18" spans="1:14">
      <c r="B18">
        <v>4.2000000000000003E-2</v>
      </c>
      <c r="C18">
        <v>4.3999999999999997E-2</v>
      </c>
      <c r="D18">
        <v>4.3999999999999997E-2</v>
      </c>
      <c r="E18">
        <v>4.4999999999999998E-2</v>
      </c>
      <c r="F18">
        <v>4.4999999999999998E-2</v>
      </c>
      <c r="G18">
        <v>4.2000000000000003E-2</v>
      </c>
      <c r="H18">
        <v>4.2000000000000003E-2</v>
      </c>
      <c r="I18">
        <v>4.3999999999999997E-2</v>
      </c>
      <c r="J18">
        <v>4.3999999999999997E-2</v>
      </c>
      <c r="K18">
        <v>4.4999999999999998E-2</v>
      </c>
      <c r="L18">
        <v>4.3999999999999997E-2</v>
      </c>
      <c r="M18">
        <v>4.2999999999999997E-2</v>
      </c>
      <c r="N18" t="s">
        <v>15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10B0-F9FB-DA43-99A9-5871D64140B5}">
  <dimension ref="A1:N18"/>
  <sheetViews>
    <sheetView workbookViewId="0">
      <selection activeCell="G13" sqref="G13:I13"/>
    </sheetView>
  </sheetViews>
  <sheetFormatPr baseColWidth="10" defaultRowHeight="20"/>
  <sheetData>
    <row r="1" spans="1:14">
      <c r="A1" t="s">
        <v>13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A3" t="s">
        <v>7</v>
      </c>
      <c r="B3">
        <v>0.05</v>
      </c>
      <c r="C3">
        <v>0.05</v>
      </c>
      <c r="D3">
        <v>5.0999999999999997E-2</v>
      </c>
      <c r="E3">
        <v>0.05</v>
      </c>
      <c r="F3">
        <v>4.9000000000000002E-2</v>
      </c>
      <c r="G3">
        <v>5.0999999999999997E-2</v>
      </c>
      <c r="H3">
        <v>0.05</v>
      </c>
      <c r="I3">
        <v>5.0999999999999997E-2</v>
      </c>
      <c r="J3">
        <v>5.0999999999999997E-2</v>
      </c>
      <c r="K3">
        <v>5.0999999999999997E-2</v>
      </c>
      <c r="L3">
        <v>5.0999999999999997E-2</v>
      </c>
      <c r="M3">
        <v>0.05</v>
      </c>
      <c r="N3" t="s">
        <v>14</v>
      </c>
    </row>
    <row r="4" spans="1:14">
      <c r="B4">
        <v>4.2999999999999997E-2</v>
      </c>
      <c r="C4">
        <v>4.3999999999999997E-2</v>
      </c>
      <c r="D4">
        <v>4.4999999999999998E-2</v>
      </c>
      <c r="E4">
        <v>4.3999999999999997E-2</v>
      </c>
      <c r="F4">
        <v>4.2999999999999997E-2</v>
      </c>
      <c r="G4">
        <v>4.2999999999999997E-2</v>
      </c>
      <c r="H4">
        <v>4.2000000000000003E-2</v>
      </c>
      <c r="I4">
        <v>4.4999999999999998E-2</v>
      </c>
      <c r="J4">
        <v>4.3999999999999997E-2</v>
      </c>
      <c r="K4">
        <v>4.4999999999999998E-2</v>
      </c>
      <c r="L4">
        <v>4.3999999999999997E-2</v>
      </c>
      <c r="M4">
        <v>4.2999999999999997E-2</v>
      </c>
      <c r="N4" t="s">
        <v>15</v>
      </c>
    </row>
    <row r="5" spans="1:14">
      <c r="A5" t="s">
        <v>8</v>
      </c>
      <c r="B5">
        <v>0.05</v>
      </c>
      <c r="C5" s="2">
        <v>0.05</v>
      </c>
      <c r="D5" s="2">
        <v>5.0999999999999997E-2</v>
      </c>
      <c r="E5" s="2">
        <v>5.3999999999999999E-2</v>
      </c>
      <c r="F5">
        <v>0.05</v>
      </c>
      <c r="G5" s="2">
        <v>4.9000000000000002E-2</v>
      </c>
      <c r="H5" s="2">
        <v>4.8000000000000001E-2</v>
      </c>
      <c r="I5" s="2">
        <v>4.9000000000000002E-2</v>
      </c>
      <c r="J5">
        <v>5.0999999999999997E-2</v>
      </c>
      <c r="K5">
        <v>0.05</v>
      </c>
      <c r="L5">
        <v>0.05</v>
      </c>
      <c r="M5">
        <v>0.05</v>
      </c>
      <c r="N5" t="s">
        <v>14</v>
      </c>
    </row>
    <row r="6" spans="1:14">
      <c r="B6">
        <v>4.2999999999999997E-2</v>
      </c>
      <c r="C6">
        <v>3.9E-2</v>
      </c>
      <c r="D6">
        <v>3.6999999999999998E-2</v>
      </c>
      <c r="E6">
        <v>0.04</v>
      </c>
      <c r="F6">
        <v>4.2000000000000003E-2</v>
      </c>
      <c r="G6">
        <v>3.6999999999999998E-2</v>
      </c>
      <c r="H6">
        <v>3.6999999999999998E-2</v>
      </c>
      <c r="I6">
        <v>3.7999999999999999E-2</v>
      </c>
      <c r="J6">
        <v>4.2999999999999997E-2</v>
      </c>
      <c r="K6">
        <v>4.2999999999999997E-2</v>
      </c>
      <c r="L6">
        <v>4.2999999999999997E-2</v>
      </c>
      <c r="M6">
        <v>4.2999999999999997E-2</v>
      </c>
      <c r="N6" t="s">
        <v>15</v>
      </c>
    </row>
    <row r="7" spans="1:14">
      <c r="A7" t="s">
        <v>9</v>
      </c>
      <c r="B7">
        <v>0.05</v>
      </c>
      <c r="C7">
        <v>0.05</v>
      </c>
      <c r="D7">
        <v>0.05</v>
      </c>
      <c r="E7">
        <v>0.05</v>
      </c>
      <c r="F7">
        <v>5.0999999999999997E-2</v>
      </c>
      <c r="G7">
        <v>4.9000000000000002E-2</v>
      </c>
      <c r="H7">
        <v>0.05</v>
      </c>
      <c r="I7">
        <v>5.0999999999999997E-2</v>
      </c>
      <c r="J7">
        <v>5.0999999999999997E-2</v>
      </c>
      <c r="K7">
        <v>0.05</v>
      </c>
      <c r="L7">
        <v>5.0999999999999997E-2</v>
      </c>
      <c r="M7">
        <v>0.05</v>
      </c>
      <c r="N7" t="s">
        <v>14</v>
      </c>
    </row>
    <row r="8" spans="1:14">
      <c r="B8">
        <v>4.2000000000000003E-2</v>
      </c>
      <c r="C8">
        <v>4.2999999999999997E-2</v>
      </c>
      <c r="D8">
        <v>4.2999999999999997E-2</v>
      </c>
      <c r="E8">
        <v>4.3999999999999997E-2</v>
      </c>
      <c r="F8">
        <v>4.3999999999999997E-2</v>
      </c>
      <c r="G8">
        <v>4.2000000000000003E-2</v>
      </c>
      <c r="H8">
        <v>4.2000000000000003E-2</v>
      </c>
      <c r="I8">
        <v>4.3999999999999997E-2</v>
      </c>
      <c r="J8">
        <v>4.2999999999999997E-2</v>
      </c>
      <c r="K8">
        <v>4.2999999999999997E-2</v>
      </c>
      <c r="L8">
        <v>4.2999999999999997E-2</v>
      </c>
      <c r="M8">
        <v>4.2999999999999997E-2</v>
      </c>
      <c r="N8" t="s">
        <v>15</v>
      </c>
    </row>
    <row r="9" spans="1:14">
      <c r="A9" t="s">
        <v>10</v>
      </c>
      <c r="B9">
        <v>0.05</v>
      </c>
      <c r="C9" s="2">
        <v>0.224</v>
      </c>
      <c r="D9" s="2">
        <v>0.153</v>
      </c>
      <c r="E9" s="2">
        <v>0.14000000000000001</v>
      </c>
      <c r="F9">
        <v>5.0999999999999997E-2</v>
      </c>
      <c r="G9" s="2">
        <v>0.11</v>
      </c>
      <c r="H9" s="2">
        <v>0.105</v>
      </c>
      <c r="I9" s="2">
        <v>0.10100000000000001</v>
      </c>
      <c r="J9">
        <v>0.05</v>
      </c>
      <c r="K9">
        <v>0.05</v>
      </c>
      <c r="L9">
        <v>5.0999999999999997E-2</v>
      </c>
      <c r="M9">
        <v>0.05</v>
      </c>
      <c r="N9" t="s">
        <v>14</v>
      </c>
    </row>
    <row r="10" spans="1:14">
      <c r="B10">
        <v>4.2000000000000003E-2</v>
      </c>
      <c r="C10">
        <v>3.7999999999999999E-2</v>
      </c>
      <c r="D10">
        <v>0.04</v>
      </c>
      <c r="E10">
        <v>3.9E-2</v>
      </c>
      <c r="F10">
        <v>4.2999999999999997E-2</v>
      </c>
      <c r="G10">
        <v>3.9E-2</v>
      </c>
      <c r="H10">
        <v>3.9E-2</v>
      </c>
      <c r="I10">
        <v>3.7999999999999999E-2</v>
      </c>
      <c r="J10">
        <v>4.2000000000000003E-2</v>
      </c>
      <c r="K10">
        <v>4.2999999999999997E-2</v>
      </c>
      <c r="L10">
        <v>4.2999999999999997E-2</v>
      </c>
      <c r="M10">
        <v>4.2999999999999997E-2</v>
      </c>
      <c r="N10" t="s">
        <v>15</v>
      </c>
    </row>
    <row r="11" spans="1:14">
      <c r="A11" t="s">
        <v>11</v>
      </c>
      <c r="B11">
        <v>5.1999999999999998E-2</v>
      </c>
      <c r="C11">
        <v>0.05</v>
      </c>
      <c r="D11">
        <v>0.05</v>
      </c>
      <c r="E11">
        <v>0.05</v>
      </c>
      <c r="F11">
        <v>0.05</v>
      </c>
      <c r="G11">
        <v>0.05</v>
      </c>
      <c r="H11">
        <v>5.0999999999999997E-2</v>
      </c>
      <c r="I11">
        <v>5.0999999999999997E-2</v>
      </c>
      <c r="J11">
        <v>5.0999999999999997E-2</v>
      </c>
      <c r="K11">
        <v>0.05</v>
      </c>
      <c r="L11">
        <v>0.05</v>
      </c>
      <c r="M11">
        <v>5.0999999999999997E-2</v>
      </c>
      <c r="N11" t="s">
        <v>14</v>
      </c>
    </row>
    <row r="12" spans="1:14">
      <c r="B12">
        <v>4.3999999999999997E-2</v>
      </c>
      <c r="C12">
        <v>4.2000000000000003E-2</v>
      </c>
      <c r="D12">
        <v>4.2000000000000003E-2</v>
      </c>
      <c r="E12">
        <v>4.2000000000000003E-2</v>
      </c>
      <c r="F12">
        <v>4.2999999999999997E-2</v>
      </c>
      <c r="G12">
        <v>4.3999999999999997E-2</v>
      </c>
      <c r="H12">
        <v>4.3999999999999997E-2</v>
      </c>
      <c r="I12">
        <v>4.3999999999999997E-2</v>
      </c>
      <c r="J12">
        <v>4.2999999999999997E-2</v>
      </c>
      <c r="K12">
        <v>4.2000000000000003E-2</v>
      </c>
      <c r="L12">
        <v>4.2999999999999997E-2</v>
      </c>
      <c r="M12">
        <v>4.2999999999999997E-2</v>
      </c>
      <c r="N12" t="s">
        <v>15</v>
      </c>
    </row>
    <row r="13" spans="1:14">
      <c r="A13" t="s">
        <v>12</v>
      </c>
      <c r="B13">
        <v>0.05</v>
      </c>
      <c r="C13" s="2">
        <v>5.0999999999999997E-2</v>
      </c>
      <c r="D13" s="2">
        <v>0.14299999999999999</v>
      </c>
      <c r="E13" s="2">
        <v>8.7999999999999995E-2</v>
      </c>
      <c r="F13">
        <v>5.0999999999999997E-2</v>
      </c>
      <c r="G13" s="2">
        <v>9.4E-2</v>
      </c>
      <c r="H13" s="2">
        <v>8.6999999999999994E-2</v>
      </c>
      <c r="I13" s="2">
        <v>8.5000000000000006E-2</v>
      </c>
      <c r="J13">
        <v>0.05</v>
      </c>
      <c r="K13">
        <v>5.0999999999999997E-2</v>
      </c>
      <c r="L13">
        <v>0.05</v>
      </c>
      <c r="M13">
        <v>0.05</v>
      </c>
      <c r="N13" t="s">
        <v>14</v>
      </c>
    </row>
    <row r="14" spans="1:14">
      <c r="B14">
        <v>4.2999999999999997E-2</v>
      </c>
      <c r="C14">
        <v>3.7999999999999999E-2</v>
      </c>
      <c r="D14">
        <v>3.7999999999999999E-2</v>
      </c>
      <c r="E14">
        <v>3.9E-2</v>
      </c>
      <c r="F14">
        <v>4.4999999999999998E-2</v>
      </c>
      <c r="G14">
        <v>3.6999999999999998E-2</v>
      </c>
      <c r="H14">
        <v>3.6999999999999998E-2</v>
      </c>
      <c r="I14">
        <v>4.1000000000000002E-2</v>
      </c>
      <c r="J14">
        <v>4.3999999999999997E-2</v>
      </c>
      <c r="K14">
        <v>4.2000000000000003E-2</v>
      </c>
      <c r="L14">
        <v>4.3999999999999997E-2</v>
      </c>
      <c r="M14">
        <v>4.2999999999999997E-2</v>
      </c>
      <c r="N14" t="s">
        <v>15</v>
      </c>
    </row>
    <row r="15" spans="1:14">
      <c r="A15" t="s">
        <v>16</v>
      </c>
      <c r="B15">
        <v>0.05</v>
      </c>
      <c r="C15">
        <v>5.0999999999999997E-2</v>
      </c>
      <c r="D15">
        <v>5.0999999999999997E-2</v>
      </c>
      <c r="E15">
        <v>5.0999999999999997E-2</v>
      </c>
      <c r="F15">
        <v>5.0999999999999997E-2</v>
      </c>
      <c r="G15">
        <v>0.05</v>
      </c>
      <c r="H15">
        <v>0.05</v>
      </c>
      <c r="I15">
        <v>0.05</v>
      </c>
      <c r="J15">
        <v>5.0999999999999997E-2</v>
      </c>
      <c r="K15">
        <v>0.05</v>
      </c>
      <c r="L15">
        <v>5.0999999999999997E-2</v>
      </c>
      <c r="M15">
        <v>0.05</v>
      </c>
      <c r="N15" t="s">
        <v>14</v>
      </c>
    </row>
    <row r="16" spans="1:14">
      <c r="B16">
        <v>4.2000000000000003E-2</v>
      </c>
      <c r="C16">
        <v>4.3999999999999997E-2</v>
      </c>
      <c r="D16">
        <v>4.2999999999999997E-2</v>
      </c>
      <c r="E16">
        <v>4.2000000000000003E-2</v>
      </c>
      <c r="F16">
        <v>4.2999999999999997E-2</v>
      </c>
      <c r="G16">
        <v>4.2000000000000003E-2</v>
      </c>
      <c r="H16">
        <v>4.2000000000000003E-2</v>
      </c>
      <c r="I16">
        <v>4.2000000000000003E-2</v>
      </c>
      <c r="J16">
        <v>4.2999999999999997E-2</v>
      </c>
      <c r="K16">
        <v>4.3999999999999997E-2</v>
      </c>
      <c r="L16">
        <v>4.4999999999999998E-2</v>
      </c>
      <c r="M16">
        <v>4.2999999999999997E-2</v>
      </c>
      <c r="N16" t="s">
        <v>15</v>
      </c>
    </row>
    <row r="17" spans="1:14">
      <c r="A17" t="s">
        <v>17</v>
      </c>
      <c r="B17">
        <v>0.05</v>
      </c>
      <c r="C17">
        <v>5.0999999999999997E-2</v>
      </c>
      <c r="D17">
        <v>0.05</v>
      </c>
      <c r="E17">
        <v>5.0999999999999997E-2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5.0999999999999997E-2</v>
      </c>
      <c r="L17">
        <v>5.0999999999999997E-2</v>
      </c>
      <c r="M17">
        <v>0.05</v>
      </c>
      <c r="N17" t="s">
        <v>14</v>
      </c>
    </row>
    <row r="18" spans="1:14">
      <c r="B18">
        <v>4.2999999999999997E-2</v>
      </c>
      <c r="C18">
        <v>4.4999999999999998E-2</v>
      </c>
      <c r="D18">
        <v>4.3999999999999997E-2</v>
      </c>
      <c r="E18">
        <v>4.5999999999999999E-2</v>
      </c>
      <c r="F18">
        <v>4.3999999999999997E-2</v>
      </c>
      <c r="G18">
        <v>4.2000000000000003E-2</v>
      </c>
      <c r="H18">
        <v>4.2000000000000003E-2</v>
      </c>
      <c r="I18">
        <v>4.2000000000000003E-2</v>
      </c>
      <c r="J18">
        <v>4.3999999999999997E-2</v>
      </c>
      <c r="K18">
        <v>4.4999999999999998E-2</v>
      </c>
      <c r="L18">
        <v>4.3999999999999997E-2</v>
      </c>
      <c r="M18">
        <v>4.2999999999999997E-2</v>
      </c>
      <c r="N18" t="s">
        <v>15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b-gal blank</vt:lpstr>
      <vt:lpstr>b-gal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2024-04-25T06:26:55Z</dcterms:created>
  <dcterms:modified xsi:type="dcterms:W3CDTF">2024-06-19T00:07:43Z</dcterms:modified>
</cp:coreProperties>
</file>