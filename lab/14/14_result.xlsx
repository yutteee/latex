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b/14/"/>
    </mc:Choice>
  </mc:AlternateContent>
  <xr:revisionPtr revIDLastSave="0" documentId="13_ncr:1_{EBC199CD-0365-144B-8B00-60CCAFDC6C90}" xr6:coauthVersionLast="47" xr6:coauthVersionMax="47" xr10:uidLastSave="{00000000-0000-0000-0000-000000000000}"/>
  <bookViews>
    <workbookView xWindow="0" yWindow="680" windowWidth="29920" windowHeight="18660" activeTab="3" xr2:uid="{6B1EC16C-75A9-B94D-94E5-3E835F2F6C40}"/>
  </bookViews>
  <sheets>
    <sheet name="luc" sheetId="1" r:id="rId1"/>
    <sheet name="β-gal" sheetId="2" r:id="rId2"/>
    <sheet name="result" sheetId="5" r:id="rId3"/>
    <sheet name="result(補正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5" l="1"/>
  <c r="D31" i="5"/>
  <c r="E31" i="5"/>
  <c r="F31" i="5"/>
  <c r="G31" i="5"/>
  <c r="H31" i="5"/>
  <c r="I31" i="5"/>
  <c r="J31" i="5"/>
  <c r="K31" i="5"/>
  <c r="L31" i="5"/>
  <c r="M31" i="5"/>
  <c r="B31" i="5"/>
  <c r="C28" i="5"/>
  <c r="D28" i="5"/>
  <c r="E28" i="5"/>
  <c r="F28" i="5"/>
  <c r="G28" i="5"/>
  <c r="H28" i="5"/>
  <c r="I28" i="5"/>
  <c r="J28" i="5"/>
  <c r="K28" i="5"/>
  <c r="L28" i="5"/>
  <c r="M28" i="5"/>
  <c r="C29" i="5"/>
  <c r="D29" i="5"/>
  <c r="E29" i="5"/>
  <c r="F29" i="5"/>
  <c r="G29" i="5"/>
  <c r="H29" i="5"/>
  <c r="I29" i="5"/>
  <c r="J29" i="5"/>
  <c r="K29" i="5"/>
  <c r="L29" i="5"/>
  <c r="M29" i="5"/>
  <c r="C30" i="5"/>
  <c r="D30" i="5"/>
  <c r="E30" i="5"/>
  <c r="G30" i="5"/>
  <c r="H30" i="5"/>
  <c r="I30" i="5"/>
  <c r="J30" i="5"/>
  <c r="K30" i="5"/>
  <c r="L30" i="5"/>
  <c r="M30" i="5"/>
  <c r="B29" i="5"/>
  <c r="B30" i="5"/>
  <c r="B21" i="5"/>
  <c r="B28" i="5"/>
  <c r="C21" i="5"/>
  <c r="D21" i="5"/>
  <c r="E21" i="5"/>
  <c r="F21" i="5"/>
  <c r="G21" i="5"/>
  <c r="H21" i="5"/>
  <c r="I21" i="5"/>
  <c r="J21" i="5"/>
  <c r="K21" i="5"/>
  <c r="L21" i="5"/>
  <c r="M21" i="5"/>
  <c r="C22" i="5"/>
  <c r="D22" i="5"/>
  <c r="E22" i="5"/>
  <c r="F22" i="5"/>
  <c r="G22" i="5"/>
  <c r="H22" i="5"/>
  <c r="I22" i="5"/>
  <c r="J22" i="5"/>
  <c r="K22" i="5"/>
  <c r="L22" i="5"/>
  <c r="M22" i="5"/>
  <c r="C23" i="5"/>
  <c r="D23" i="5"/>
  <c r="E23" i="5"/>
  <c r="G23" i="5"/>
  <c r="H23" i="5"/>
  <c r="I23" i="5"/>
  <c r="J23" i="5"/>
  <c r="K23" i="5"/>
  <c r="L23" i="5"/>
  <c r="M23" i="5"/>
  <c r="B22" i="5"/>
  <c r="B23" i="5"/>
  <c r="M17" i="5"/>
  <c r="L17" i="5"/>
  <c r="K17" i="5"/>
  <c r="J17" i="5"/>
  <c r="I17" i="5"/>
  <c r="H17" i="5"/>
  <c r="G17" i="5"/>
  <c r="E17" i="5"/>
  <c r="D17" i="5"/>
  <c r="C17" i="5"/>
  <c r="B17" i="5"/>
  <c r="M16" i="5"/>
  <c r="L16" i="5"/>
  <c r="K16" i="5"/>
  <c r="J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B21" i="3"/>
  <c r="G30" i="3"/>
  <c r="H30" i="3"/>
  <c r="B30" i="3"/>
  <c r="B28" i="3"/>
  <c r="F21" i="3"/>
  <c r="F24" i="3" s="1"/>
  <c r="F31" i="3" s="1"/>
  <c r="G21" i="3"/>
  <c r="G24" i="3" s="1"/>
  <c r="G31" i="3" s="1"/>
  <c r="H21" i="3"/>
  <c r="H24" i="3" s="1"/>
  <c r="H31" i="3" s="1"/>
  <c r="I21" i="3"/>
  <c r="I24" i="3" s="1"/>
  <c r="I31" i="3" s="1"/>
  <c r="J21" i="3"/>
  <c r="J24" i="3" s="1"/>
  <c r="J31" i="3" s="1"/>
  <c r="E22" i="3"/>
  <c r="E29" i="3" s="1"/>
  <c r="F22" i="3"/>
  <c r="F29" i="3" s="1"/>
  <c r="G22" i="3"/>
  <c r="G29" i="3" s="1"/>
  <c r="H22" i="3"/>
  <c r="H29" i="3" s="1"/>
  <c r="I22" i="3"/>
  <c r="I29" i="3" s="1"/>
  <c r="D23" i="3"/>
  <c r="D30" i="3" s="1"/>
  <c r="E23" i="3"/>
  <c r="E30" i="3" s="1"/>
  <c r="G23" i="3"/>
  <c r="H23" i="3"/>
  <c r="I23" i="3"/>
  <c r="I30" i="3" s="1"/>
  <c r="B23" i="3"/>
  <c r="C15" i="3"/>
  <c r="C21" i="3" s="1"/>
  <c r="D15" i="3"/>
  <c r="D21" i="3" s="1"/>
  <c r="E15" i="3"/>
  <c r="E21" i="3" s="1"/>
  <c r="F15" i="3"/>
  <c r="G15" i="3"/>
  <c r="H15" i="3"/>
  <c r="I15" i="3"/>
  <c r="J15" i="3"/>
  <c r="K15" i="3"/>
  <c r="K21" i="3" s="1"/>
  <c r="L15" i="3"/>
  <c r="L21" i="3" s="1"/>
  <c r="M15" i="3"/>
  <c r="M21" i="3" s="1"/>
  <c r="C16" i="3"/>
  <c r="C22" i="3" s="1"/>
  <c r="C29" i="3" s="1"/>
  <c r="D16" i="3"/>
  <c r="D22" i="3" s="1"/>
  <c r="D29" i="3" s="1"/>
  <c r="E16" i="3"/>
  <c r="F16" i="3"/>
  <c r="G16" i="3"/>
  <c r="H16" i="3"/>
  <c r="I16" i="3"/>
  <c r="J16" i="3"/>
  <c r="J22" i="3" s="1"/>
  <c r="J29" i="3" s="1"/>
  <c r="K16" i="3"/>
  <c r="K22" i="3" s="1"/>
  <c r="K29" i="3" s="1"/>
  <c r="L16" i="3"/>
  <c r="L22" i="3" s="1"/>
  <c r="L29" i="3" s="1"/>
  <c r="M16" i="3"/>
  <c r="M22" i="3" s="1"/>
  <c r="M29" i="3" s="1"/>
  <c r="C17" i="3"/>
  <c r="C23" i="3" s="1"/>
  <c r="C30" i="3" s="1"/>
  <c r="D17" i="3"/>
  <c r="E17" i="3"/>
  <c r="G17" i="3"/>
  <c r="H17" i="3"/>
  <c r="I17" i="3"/>
  <c r="J17" i="3"/>
  <c r="J23" i="3" s="1"/>
  <c r="J30" i="3" s="1"/>
  <c r="K17" i="3"/>
  <c r="K23" i="3" s="1"/>
  <c r="K30" i="3" s="1"/>
  <c r="L17" i="3"/>
  <c r="L23" i="3" s="1"/>
  <c r="L30" i="3" s="1"/>
  <c r="M17" i="3"/>
  <c r="M23" i="3" s="1"/>
  <c r="M30" i="3" s="1"/>
  <c r="B16" i="3"/>
  <c r="B22" i="3" s="1"/>
  <c r="B29" i="3" s="1"/>
  <c r="B17" i="3"/>
  <c r="B15" i="3"/>
  <c r="I32" i="5" l="1"/>
  <c r="L24" i="5"/>
  <c r="B32" i="5"/>
  <c r="M32" i="5"/>
  <c r="M24" i="5"/>
  <c r="F32" i="5"/>
  <c r="F24" i="5"/>
  <c r="C32" i="5"/>
  <c r="C24" i="5"/>
  <c r="D32" i="5"/>
  <c r="D24" i="5"/>
  <c r="K32" i="5"/>
  <c r="E32" i="5"/>
  <c r="E24" i="5"/>
  <c r="H32" i="5"/>
  <c r="J32" i="5"/>
  <c r="L32" i="5"/>
  <c r="G32" i="5"/>
  <c r="G24" i="5"/>
  <c r="B24" i="5"/>
  <c r="K24" i="5"/>
  <c r="H24" i="5"/>
  <c r="I24" i="5"/>
  <c r="J24" i="5"/>
  <c r="E24" i="3"/>
  <c r="E31" i="3" s="1"/>
  <c r="E28" i="3"/>
  <c r="E32" i="3" s="1"/>
  <c r="D24" i="3"/>
  <c r="D31" i="3" s="1"/>
  <c r="D28" i="3"/>
  <c r="D32" i="3" s="1"/>
  <c r="B32" i="3"/>
  <c r="M24" i="3"/>
  <c r="M31" i="3" s="1"/>
  <c r="M28" i="3"/>
  <c r="M32" i="3" s="1"/>
  <c r="C24" i="3"/>
  <c r="C31" i="3" s="1"/>
  <c r="C28" i="3"/>
  <c r="C32" i="3" s="1"/>
  <c r="L28" i="3"/>
  <c r="L32" i="3" s="1"/>
  <c r="L24" i="3"/>
  <c r="L31" i="3" s="1"/>
  <c r="B24" i="3"/>
  <c r="B31" i="3" s="1"/>
  <c r="K28" i="3"/>
  <c r="K32" i="3" s="1"/>
  <c r="K24" i="3"/>
  <c r="K31" i="3" s="1"/>
  <c r="J28" i="3"/>
  <c r="J32" i="3" s="1"/>
  <c r="I28" i="3"/>
  <c r="I32" i="3" s="1"/>
  <c r="H28" i="3"/>
  <c r="H32" i="3" s="1"/>
  <c r="G28" i="3"/>
  <c r="G32" i="3" s="1"/>
  <c r="F28" i="3"/>
  <c r="F32" i="3" s="1"/>
</calcChain>
</file>

<file path=xl/sharedStrings.xml><?xml version="1.0" encoding="utf-8"?>
<sst xmlns="http://schemas.openxmlformats.org/spreadsheetml/2006/main" count="207" uniqueCount="33">
  <si>
    <t>n1</t>
    <phoneticPr fontId="1"/>
  </si>
  <si>
    <t>n2</t>
    <phoneticPr fontId="1"/>
  </si>
  <si>
    <t>n3</t>
    <phoneticPr fontId="1"/>
  </si>
  <si>
    <t>control</t>
    <phoneticPr fontId="1"/>
  </si>
  <si>
    <t>DCA</t>
    <phoneticPr fontId="1"/>
  </si>
  <si>
    <t>FRT</t>
    <phoneticPr fontId="1"/>
  </si>
  <si>
    <t>TRT</t>
    <phoneticPr fontId="1"/>
  </si>
  <si>
    <t>EDT</t>
    <phoneticPr fontId="1"/>
  </si>
  <si>
    <t>FNT</t>
    <phoneticPr fontId="1"/>
  </si>
  <si>
    <t>FQT</t>
    <phoneticPr fontId="1"/>
  </si>
  <si>
    <t>PET</t>
    <phoneticPr fontId="1"/>
  </si>
  <si>
    <t>PHT</t>
    <phoneticPr fontId="1"/>
  </si>
  <si>
    <t>FST</t>
    <phoneticPr fontId="1"/>
  </si>
  <si>
    <t>FET</t>
    <phoneticPr fontId="1"/>
  </si>
  <si>
    <t>PFT</t>
    <phoneticPr fontId="1"/>
  </si>
  <si>
    <t>blank</t>
    <phoneticPr fontId="1"/>
  </si>
  <si>
    <t>A</t>
  </si>
  <si>
    <t>Read 1:415</t>
  </si>
  <si>
    <t>Read 2:655</t>
  </si>
  <si>
    <t>B</t>
  </si>
  <si>
    <t>C</t>
  </si>
  <si>
    <t>D</t>
  </si>
  <si>
    <t>E</t>
  </si>
  <si>
    <t>F</t>
  </si>
  <si>
    <t>G</t>
  </si>
  <si>
    <t>H</t>
  </si>
  <si>
    <t>luc</t>
    <phoneticPr fontId="1"/>
  </si>
  <si>
    <t>β-gal</t>
    <phoneticPr fontId="1"/>
  </si>
  <si>
    <t>β-gal(補正)</t>
    <rPh sb="6" eb="8">
      <t xml:space="preserve">ホセイ </t>
    </rPh>
    <phoneticPr fontId="1"/>
  </si>
  <si>
    <t>luc activity</t>
    <phoneticPr fontId="1"/>
  </si>
  <si>
    <t>ave</t>
    <phoneticPr fontId="1"/>
  </si>
  <si>
    <t>Relative luc activity</t>
    <phoneticPr fontId="1"/>
  </si>
  <si>
    <t>補正</t>
    <rPh sb="0" eb="2">
      <t xml:space="preserve">ホセイ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</si>
</sst>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result!$B$32:$M$32</c:f>
                <c:numCache>
                  <c:formatCode>General</c:formatCode>
                  <c:ptCount val="12"/>
                  <c:pt idx="0">
                    <c:v>4.522839089462324</c:v>
                  </c:pt>
                  <c:pt idx="1">
                    <c:v>33.634458941548324</c:v>
                  </c:pt>
                  <c:pt idx="2">
                    <c:v>2.8704319491251238</c:v>
                  </c:pt>
                  <c:pt idx="3">
                    <c:v>1.0534914204866628</c:v>
                  </c:pt>
                  <c:pt idx="4">
                    <c:v>0.23773947523672642</c:v>
                  </c:pt>
                  <c:pt idx="5">
                    <c:v>3.2996977131305067</c:v>
                  </c:pt>
                  <c:pt idx="6">
                    <c:v>4.2538906934257659</c:v>
                  </c:pt>
                  <c:pt idx="7">
                    <c:v>13.42389256455863</c:v>
                  </c:pt>
                  <c:pt idx="8">
                    <c:v>5.8583234783923084</c:v>
                  </c:pt>
                  <c:pt idx="9">
                    <c:v>9.6966120885380835</c:v>
                  </c:pt>
                  <c:pt idx="10">
                    <c:v>4.6535247674348348</c:v>
                  </c:pt>
                  <c:pt idx="11">
                    <c:v>3.6231539716491521</c:v>
                  </c:pt>
                </c:numCache>
              </c:numRef>
            </c:plus>
            <c:minus>
              <c:numRef>
                <c:f>result!$B$32:$M$32</c:f>
                <c:numCache>
                  <c:formatCode>General</c:formatCode>
                  <c:ptCount val="12"/>
                  <c:pt idx="0">
                    <c:v>4.522839089462324</c:v>
                  </c:pt>
                  <c:pt idx="1">
                    <c:v>33.634458941548324</c:v>
                  </c:pt>
                  <c:pt idx="2">
                    <c:v>2.8704319491251238</c:v>
                  </c:pt>
                  <c:pt idx="3">
                    <c:v>1.0534914204866628</c:v>
                  </c:pt>
                  <c:pt idx="4">
                    <c:v>0.23773947523672642</c:v>
                  </c:pt>
                  <c:pt idx="5">
                    <c:v>3.2996977131305067</c:v>
                  </c:pt>
                  <c:pt idx="6">
                    <c:v>4.2538906934257659</c:v>
                  </c:pt>
                  <c:pt idx="7">
                    <c:v>13.42389256455863</c:v>
                  </c:pt>
                  <c:pt idx="8">
                    <c:v>5.8583234783923084</c:v>
                  </c:pt>
                  <c:pt idx="9">
                    <c:v>9.6966120885380835</c:v>
                  </c:pt>
                  <c:pt idx="10">
                    <c:v>4.6535247674348348</c:v>
                  </c:pt>
                  <c:pt idx="11">
                    <c:v>3.6231539716491521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result!$B$27:$M$27</c:f>
              <c:strCache>
                <c:ptCount val="12"/>
                <c:pt idx="0">
                  <c:v>control</c:v>
                </c:pt>
                <c:pt idx="1">
                  <c:v>DCA</c:v>
                </c:pt>
                <c:pt idx="2">
                  <c:v>FRT</c:v>
                </c:pt>
                <c:pt idx="3">
                  <c:v>TRT</c:v>
                </c:pt>
                <c:pt idx="4">
                  <c:v>EDT</c:v>
                </c:pt>
                <c:pt idx="5">
                  <c:v>FNT</c:v>
                </c:pt>
                <c:pt idx="6">
                  <c:v>FQT</c:v>
                </c:pt>
                <c:pt idx="7">
                  <c:v>PET</c:v>
                </c:pt>
                <c:pt idx="8">
                  <c:v>PHT</c:v>
                </c:pt>
                <c:pt idx="9">
                  <c:v>FST</c:v>
                </c:pt>
                <c:pt idx="10">
                  <c:v>FET</c:v>
                </c:pt>
                <c:pt idx="11">
                  <c:v>PFT</c:v>
                </c:pt>
              </c:strCache>
            </c:strRef>
          </c:cat>
          <c:val>
            <c:numRef>
              <c:f>result!$B$31:$M$31</c:f>
              <c:numCache>
                <c:formatCode>General</c:formatCode>
                <c:ptCount val="12"/>
                <c:pt idx="0">
                  <c:v>1.9050834835591482E-7</c:v>
                </c:pt>
                <c:pt idx="1">
                  <c:v>99.999997042064251</c:v>
                </c:pt>
                <c:pt idx="2">
                  <c:v>18.952507178012258</c:v>
                </c:pt>
                <c:pt idx="3">
                  <c:v>13.623319916396675</c:v>
                </c:pt>
                <c:pt idx="4">
                  <c:v>22.601925019457504</c:v>
                </c:pt>
                <c:pt idx="5">
                  <c:v>17.481555125418893</c:v>
                </c:pt>
                <c:pt idx="6">
                  <c:v>13.155061133326029</c:v>
                </c:pt>
                <c:pt idx="7">
                  <c:v>16.1923579039216</c:v>
                </c:pt>
                <c:pt idx="8">
                  <c:v>15.371730215886643</c:v>
                </c:pt>
                <c:pt idx="9">
                  <c:v>21.735118982020243</c:v>
                </c:pt>
                <c:pt idx="10">
                  <c:v>21.001420596974754</c:v>
                </c:pt>
                <c:pt idx="11">
                  <c:v>30.676243254123502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F-1D43-A7A8-E02672040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328880"/>
        <c:axId val="753275056"/>
      </c:barChart>
      <c:catAx>
        <c:axId val="91032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75056"/>
        <c:crosses val="autoZero"/>
        <c:auto val="1"/>
        <c:lblAlgn val="ctr"/>
        <c:lblOffset val="100"/>
        <c:noMultiLvlLbl val="0"/>
      </c:catAx>
      <c:valAx>
        <c:axId val="75327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32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'result(補正)'!$B$32:$M$32</c:f>
                <c:numCache>
                  <c:formatCode>General</c:formatCode>
                  <c:ptCount val="12"/>
                  <c:pt idx="0">
                    <c:v>8.2306322432911774</c:v>
                  </c:pt>
                  <c:pt idx="1">
                    <c:v>27.958118767378156</c:v>
                  </c:pt>
                  <c:pt idx="2">
                    <c:v>3.8560890192491253</c:v>
                  </c:pt>
                  <c:pt idx="3">
                    <c:v>1.5496503632224405</c:v>
                  </c:pt>
                  <c:pt idx="4">
                    <c:v>3.0021102003363658</c:v>
                  </c:pt>
                  <c:pt idx="5">
                    <c:v>2.6062248048275909</c:v>
                  </c:pt>
                  <c:pt idx="6">
                    <c:v>3.2762691609023666</c:v>
                  </c:pt>
                  <c:pt idx="7">
                    <c:v>11.72833563606129</c:v>
                  </c:pt>
                  <c:pt idx="8">
                    <c:v>3.7887620301937988</c:v>
                  </c:pt>
                  <c:pt idx="9">
                    <c:v>7.1591576444328577</c:v>
                  </c:pt>
                  <c:pt idx="10">
                    <c:v>2.7719005887037791</c:v>
                  </c:pt>
                  <c:pt idx="11">
                    <c:v>1.56421174428848</c:v>
                  </c:pt>
                </c:numCache>
              </c:numRef>
            </c:plus>
            <c:minus>
              <c:numRef>
                <c:f>'result(補正)'!$B$32:$M$32</c:f>
                <c:numCache>
                  <c:formatCode>General</c:formatCode>
                  <c:ptCount val="12"/>
                  <c:pt idx="0">
                    <c:v>8.2306322432911774</c:v>
                  </c:pt>
                  <c:pt idx="1">
                    <c:v>27.958118767378156</c:v>
                  </c:pt>
                  <c:pt idx="2">
                    <c:v>3.8560890192491253</c:v>
                  </c:pt>
                  <c:pt idx="3">
                    <c:v>1.5496503632224405</c:v>
                  </c:pt>
                  <c:pt idx="4">
                    <c:v>3.0021102003363658</c:v>
                  </c:pt>
                  <c:pt idx="5">
                    <c:v>2.6062248048275909</c:v>
                  </c:pt>
                  <c:pt idx="6">
                    <c:v>3.2762691609023666</c:v>
                  </c:pt>
                  <c:pt idx="7">
                    <c:v>11.72833563606129</c:v>
                  </c:pt>
                  <c:pt idx="8">
                    <c:v>3.7887620301937988</c:v>
                  </c:pt>
                  <c:pt idx="9">
                    <c:v>7.1591576444328577</c:v>
                  </c:pt>
                  <c:pt idx="10">
                    <c:v>2.7719005887037791</c:v>
                  </c:pt>
                  <c:pt idx="11">
                    <c:v>1.56421174428848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'result(補正)'!$B$27:$M$27</c:f>
              <c:strCache>
                <c:ptCount val="12"/>
                <c:pt idx="0">
                  <c:v>control</c:v>
                </c:pt>
                <c:pt idx="1">
                  <c:v>DCA</c:v>
                </c:pt>
                <c:pt idx="2">
                  <c:v>FRT</c:v>
                </c:pt>
                <c:pt idx="3">
                  <c:v>TRT</c:v>
                </c:pt>
                <c:pt idx="4">
                  <c:v>EDT</c:v>
                </c:pt>
                <c:pt idx="5">
                  <c:v>FNT</c:v>
                </c:pt>
                <c:pt idx="6">
                  <c:v>FQT</c:v>
                </c:pt>
                <c:pt idx="7">
                  <c:v>PET</c:v>
                </c:pt>
                <c:pt idx="8">
                  <c:v>PHT</c:v>
                </c:pt>
                <c:pt idx="9">
                  <c:v>FST</c:v>
                </c:pt>
                <c:pt idx="10">
                  <c:v>FET</c:v>
                </c:pt>
                <c:pt idx="11">
                  <c:v>PFT</c:v>
                </c:pt>
              </c:strCache>
            </c:strRef>
          </c:cat>
          <c:val>
            <c:numRef>
              <c:f>'result(補正)'!$B$31:$M$31</c:f>
              <c:numCache>
                <c:formatCode>General</c:formatCode>
                <c:ptCount val="12"/>
                <c:pt idx="0">
                  <c:v>-1.3918856082698407E-8</c:v>
                </c:pt>
                <c:pt idx="1">
                  <c:v>100.00000008335876</c:v>
                </c:pt>
                <c:pt idx="2">
                  <c:v>5.7766430223621965</c:v>
                </c:pt>
                <c:pt idx="3">
                  <c:v>5.0135881276819951</c:v>
                </c:pt>
                <c:pt idx="4">
                  <c:v>8.4256754353566237</c:v>
                </c:pt>
                <c:pt idx="5">
                  <c:v>3.4424301775478079</c:v>
                </c:pt>
                <c:pt idx="6">
                  <c:v>3.3085672989813868</c:v>
                </c:pt>
                <c:pt idx="7">
                  <c:v>8.063446184541478</c:v>
                </c:pt>
                <c:pt idx="8">
                  <c:v>4.1575440156509682</c:v>
                </c:pt>
                <c:pt idx="9">
                  <c:v>11.198288344375278</c:v>
                </c:pt>
                <c:pt idx="10">
                  <c:v>8.5260386071585312</c:v>
                </c:pt>
                <c:pt idx="11">
                  <c:v>14.352669920625374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4-DE49-8C4C-AFF5FB8B5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328880"/>
        <c:axId val="753275056"/>
      </c:barChart>
      <c:catAx>
        <c:axId val="91032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75056"/>
        <c:crosses val="autoZero"/>
        <c:auto val="1"/>
        <c:lblAlgn val="ctr"/>
        <c:lblOffset val="100"/>
        <c:noMultiLvlLbl val="0"/>
      </c:catAx>
      <c:valAx>
        <c:axId val="75327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32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533400</xdr:colOff>
      <xdr:row>19</xdr:row>
      <xdr:rowOff>190500</xdr:rowOff>
    </xdr:from>
    <xdr:to>
      <xdr:col>18</xdr:col>
      <xdr:colOff>342900</xdr:colOff>
      <xdr:row>30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B9C7080-6364-E249-A61C-647E2376B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533400</xdr:colOff>
      <xdr:row>19</xdr:row>
      <xdr:rowOff>190500</xdr:rowOff>
    </xdr:from>
    <xdr:to>
      <xdr:col>18</xdr:col>
      <xdr:colOff>342900</xdr:colOff>
      <xdr:row>30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AB860E5-2F67-F9B9-2C71-CC553BBDE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7145-1AEB-8940-98D4-11CEB8E8BE21}">
  <dimension ref="A1:M4"/>
  <sheetViews>
    <sheetView workbookViewId="0">
      <selection sqref="A1:N4"/>
    </sheetView>
  </sheetViews>
  <sheetFormatPr baseColWidth="10" defaultRowHeight="20"/>
  <sheetData>
    <row r="1" spans="1:13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>
      <c r="A2" t="s">
        <v>0</v>
      </c>
      <c r="B2">
        <v>2446</v>
      </c>
      <c r="C2">
        <v>12670</v>
      </c>
      <c r="D2">
        <v>6610</v>
      </c>
      <c r="E2">
        <v>4915</v>
      </c>
      <c r="F2">
        <v>6320</v>
      </c>
      <c r="G2">
        <v>6222</v>
      </c>
      <c r="H2">
        <v>3869</v>
      </c>
      <c r="I2">
        <v>6862</v>
      </c>
      <c r="J2">
        <v>6332</v>
      </c>
      <c r="K2">
        <v>7465</v>
      </c>
      <c r="L2">
        <v>7643</v>
      </c>
      <c r="M2">
        <v>7916</v>
      </c>
    </row>
    <row r="3" spans="1:13">
      <c r="A3" t="s">
        <v>1</v>
      </c>
      <c r="B3">
        <v>2889</v>
      </c>
      <c r="C3">
        <v>8337</v>
      </c>
      <c r="D3">
        <v>5826</v>
      </c>
      <c r="E3">
        <v>4750</v>
      </c>
      <c r="F3">
        <v>7620</v>
      </c>
      <c r="G3">
        <v>5915</v>
      </c>
      <c r="H3">
        <v>5965</v>
      </c>
      <c r="I3">
        <v>4378</v>
      </c>
      <c r="J3">
        <v>5934</v>
      </c>
      <c r="K3">
        <v>4709</v>
      </c>
      <c r="L3">
        <v>5440</v>
      </c>
      <c r="M3">
        <v>9235</v>
      </c>
    </row>
    <row r="4" spans="1:13">
      <c r="A4" t="s">
        <v>2</v>
      </c>
      <c r="B4">
        <v>2782</v>
      </c>
      <c r="C4">
        <v>15948</v>
      </c>
      <c r="D4">
        <v>6620</v>
      </c>
      <c r="E4">
        <v>4998</v>
      </c>
      <c r="G4">
        <v>7181</v>
      </c>
      <c r="H4">
        <v>5789</v>
      </c>
      <c r="I4">
        <v>3975</v>
      </c>
      <c r="J4">
        <v>4418</v>
      </c>
      <c r="K4">
        <v>5854</v>
      </c>
      <c r="L4">
        <v>6085</v>
      </c>
      <c r="M4">
        <v>7431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FF5E-C830-394E-8A94-AAD4A8C3C63A}">
  <dimension ref="A1:N17"/>
  <sheetViews>
    <sheetView workbookViewId="0">
      <selection activeCell="B2" sqref="B1:E2"/>
    </sheetView>
  </sheetViews>
  <sheetFormatPr baseColWidth="10" defaultRowHeight="20"/>
  <sheetData>
    <row r="1" spans="1:1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4">
      <c r="A2" t="s">
        <v>16</v>
      </c>
      <c r="B2">
        <v>0.1</v>
      </c>
      <c r="C2">
        <v>0.111</v>
      </c>
      <c r="D2">
        <v>0.13800000000000001</v>
      </c>
      <c r="E2">
        <v>0.11799999999999999</v>
      </c>
      <c r="F2">
        <v>0.13100000000000001</v>
      </c>
      <c r="G2">
        <v>0.13900000000000001</v>
      </c>
      <c r="H2">
        <v>0.106</v>
      </c>
      <c r="I2">
        <v>0.122</v>
      </c>
      <c r="J2">
        <v>0.13500000000000001</v>
      </c>
      <c r="K2">
        <v>0.13200000000000001</v>
      </c>
      <c r="L2">
        <v>0.14799999999999999</v>
      </c>
      <c r="M2">
        <v>0.14499999999999999</v>
      </c>
      <c r="N2" t="s">
        <v>17</v>
      </c>
    </row>
    <row r="3" spans="1:14">
      <c r="B3">
        <v>3.7999999999999999E-2</v>
      </c>
      <c r="C3">
        <v>0.04</v>
      </c>
      <c r="D3">
        <v>0.04</v>
      </c>
      <c r="E3">
        <v>3.9E-2</v>
      </c>
      <c r="F3">
        <v>4.2000000000000003E-2</v>
      </c>
      <c r="G3">
        <v>3.6999999999999998E-2</v>
      </c>
      <c r="H3">
        <v>3.9E-2</v>
      </c>
      <c r="I3">
        <v>3.7999999999999999E-2</v>
      </c>
      <c r="J3">
        <v>3.9E-2</v>
      </c>
      <c r="K3">
        <v>4.1000000000000002E-2</v>
      </c>
      <c r="L3">
        <v>3.9E-2</v>
      </c>
      <c r="M3">
        <v>3.6999999999999998E-2</v>
      </c>
      <c r="N3" t="s">
        <v>18</v>
      </c>
    </row>
    <row r="4" spans="1:14">
      <c r="A4" t="s">
        <v>19</v>
      </c>
      <c r="B4">
        <v>9.6000000000000002E-2</v>
      </c>
      <c r="C4">
        <v>9.6000000000000002E-2</v>
      </c>
      <c r="D4">
        <v>0.13</v>
      </c>
      <c r="E4">
        <v>0.11899999999999999</v>
      </c>
      <c r="F4">
        <v>0.157</v>
      </c>
      <c r="G4">
        <v>0.14499999999999999</v>
      </c>
      <c r="H4">
        <v>0.14799999999999999</v>
      </c>
      <c r="I4">
        <v>0.12</v>
      </c>
      <c r="J4">
        <v>0.13900000000000001</v>
      </c>
      <c r="K4">
        <v>0.11799999999999999</v>
      </c>
      <c r="L4">
        <v>0.121</v>
      </c>
      <c r="M4">
        <v>0.157</v>
      </c>
      <c r="N4" t="s">
        <v>17</v>
      </c>
    </row>
    <row r="5" spans="1:14">
      <c r="B5">
        <v>3.7999999999999999E-2</v>
      </c>
      <c r="C5">
        <v>3.9E-2</v>
      </c>
      <c r="D5">
        <v>4.1000000000000002E-2</v>
      </c>
      <c r="E5">
        <v>3.9E-2</v>
      </c>
      <c r="F5">
        <v>3.7999999999999999E-2</v>
      </c>
      <c r="G5">
        <v>3.6999999999999998E-2</v>
      </c>
      <c r="H5">
        <v>3.9E-2</v>
      </c>
      <c r="I5">
        <v>0.04</v>
      </c>
      <c r="J5">
        <v>3.9E-2</v>
      </c>
      <c r="K5">
        <v>3.9E-2</v>
      </c>
      <c r="L5">
        <v>3.9E-2</v>
      </c>
      <c r="M5">
        <v>3.6999999999999998E-2</v>
      </c>
      <c r="N5" t="s">
        <v>18</v>
      </c>
    </row>
    <row r="6" spans="1:14">
      <c r="A6" t="s">
        <v>20</v>
      </c>
      <c r="B6">
        <v>8.6999999999999994E-2</v>
      </c>
      <c r="C6">
        <v>0.11</v>
      </c>
      <c r="D6">
        <v>0.154</v>
      </c>
      <c r="E6">
        <v>0.124</v>
      </c>
      <c r="F6">
        <v>5.2999999999999999E-2</v>
      </c>
      <c r="G6">
        <v>0.155</v>
      </c>
      <c r="H6">
        <v>0.13200000000000001</v>
      </c>
      <c r="I6">
        <v>0.111</v>
      </c>
      <c r="J6">
        <v>0.12</v>
      </c>
      <c r="K6">
        <v>0.126</v>
      </c>
      <c r="L6">
        <v>0.13700000000000001</v>
      </c>
      <c r="M6">
        <v>0.14099999999999999</v>
      </c>
      <c r="N6" t="s">
        <v>17</v>
      </c>
    </row>
    <row r="7" spans="1:14">
      <c r="B7">
        <v>3.7999999999999999E-2</v>
      </c>
      <c r="C7">
        <v>3.9E-2</v>
      </c>
      <c r="D7">
        <v>3.7999999999999999E-2</v>
      </c>
      <c r="E7">
        <v>3.7999999999999999E-2</v>
      </c>
      <c r="F7">
        <v>3.9E-2</v>
      </c>
      <c r="G7">
        <v>3.9E-2</v>
      </c>
      <c r="H7">
        <v>3.6999999999999998E-2</v>
      </c>
      <c r="I7">
        <v>3.7999999999999999E-2</v>
      </c>
      <c r="J7">
        <v>3.7999999999999999E-2</v>
      </c>
      <c r="K7">
        <v>4.1000000000000002E-2</v>
      </c>
      <c r="L7">
        <v>3.7999999999999999E-2</v>
      </c>
      <c r="M7">
        <v>3.6999999999999998E-2</v>
      </c>
      <c r="N7" t="s">
        <v>18</v>
      </c>
    </row>
    <row r="8" spans="1:14">
      <c r="A8" t="s">
        <v>21</v>
      </c>
      <c r="B8">
        <v>0.05</v>
      </c>
      <c r="C8">
        <v>0.05</v>
      </c>
      <c r="D8">
        <v>0.05</v>
      </c>
      <c r="E8">
        <v>0.05</v>
      </c>
      <c r="F8">
        <v>5.0999999999999997E-2</v>
      </c>
      <c r="G8">
        <v>0.05</v>
      </c>
      <c r="H8">
        <v>5.0999999999999997E-2</v>
      </c>
      <c r="I8">
        <v>5.1999999999999998E-2</v>
      </c>
      <c r="J8">
        <v>0.05</v>
      </c>
      <c r="K8">
        <v>0.05</v>
      </c>
      <c r="L8">
        <v>0.05</v>
      </c>
      <c r="M8">
        <v>0.05</v>
      </c>
      <c r="N8" t="s">
        <v>17</v>
      </c>
    </row>
    <row r="9" spans="1:14">
      <c r="B9">
        <v>4.2000000000000003E-2</v>
      </c>
      <c r="C9">
        <v>4.2000000000000003E-2</v>
      </c>
      <c r="D9">
        <v>4.2000000000000003E-2</v>
      </c>
      <c r="E9">
        <v>4.2999999999999997E-2</v>
      </c>
      <c r="F9">
        <v>4.2999999999999997E-2</v>
      </c>
      <c r="G9">
        <v>4.2999999999999997E-2</v>
      </c>
      <c r="H9">
        <v>4.4999999999999998E-2</v>
      </c>
      <c r="I9">
        <v>4.3999999999999997E-2</v>
      </c>
      <c r="J9">
        <v>4.2999999999999997E-2</v>
      </c>
      <c r="K9">
        <v>4.2000000000000003E-2</v>
      </c>
      <c r="L9">
        <v>4.2000000000000003E-2</v>
      </c>
      <c r="M9">
        <v>4.2999999999999997E-2</v>
      </c>
      <c r="N9" t="s">
        <v>18</v>
      </c>
    </row>
    <row r="10" spans="1:14">
      <c r="A10" t="s">
        <v>22</v>
      </c>
      <c r="B10">
        <v>0.08</v>
      </c>
      <c r="C10">
        <v>5.3999999999999999E-2</v>
      </c>
      <c r="D10">
        <v>5.1999999999999998E-2</v>
      </c>
      <c r="E10">
        <v>5.1999999999999998E-2</v>
      </c>
      <c r="F10">
        <v>5.0999999999999997E-2</v>
      </c>
      <c r="G10">
        <v>5.3999999999999999E-2</v>
      </c>
      <c r="H10">
        <v>5.1999999999999998E-2</v>
      </c>
      <c r="I10">
        <v>5.1999999999999998E-2</v>
      </c>
      <c r="J10">
        <v>5.6000000000000001E-2</v>
      </c>
      <c r="K10">
        <v>5.0999999999999997E-2</v>
      </c>
      <c r="L10">
        <v>0.05</v>
      </c>
      <c r="M10">
        <v>4.9000000000000002E-2</v>
      </c>
      <c r="N10" t="s">
        <v>17</v>
      </c>
    </row>
    <row r="11" spans="1:14">
      <c r="B11">
        <v>5.8999999999999997E-2</v>
      </c>
      <c r="C11">
        <v>4.3999999999999997E-2</v>
      </c>
      <c r="D11">
        <v>4.3999999999999997E-2</v>
      </c>
      <c r="E11">
        <v>4.3999999999999997E-2</v>
      </c>
      <c r="F11">
        <v>4.3999999999999997E-2</v>
      </c>
      <c r="G11">
        <v>4.5999999999999999E-2</v>
      </c>
      <c r="H11">
        <v>4.3999999999999997E-2</v>
      </c>
      <c r="I11">
        <v>4.3999999999999997E-2</v>
      </c>
      <c r="J11">
        <v>4.8000000000000001E-2</v>
      </c>
      <c r="K11">
        <v>4.2999999999999997E-2</v>
      </c>
      <c r="L11">
        <v>4.2999999999999997E-2</v>
      </c>
      <c r="M11">
        <v>3.7999999999999999E-2</v>
      </c>
      <c r="N11" t="s">
        <v>18</v>
      </c>
    </row>
    <row r="12" spans="1:14">
      <c r="A12" t="s">
        <v>23</v>
      </c>
      <c r="B12">
        <v>0.05</v>
      </c>
      <c r="C12">
        <v>0.05</v>
      </c>
      <c r="D12">
        <v>0.05</v>
      </c>
      <c r="E12">
        <v>0.05</v>
      </c>
      <c r="F12">
        <v>0.05</v>
      </c>
      <c r="G12">
        <v>5.0999999999999997E-2</v>
      </c>
      <c r="H12">
        <v>4.9000000000000002E-2</v>
      </c>
      <c r="I12">
        <v>0.05</v>
      </c>
      <c r="J12">
        <v>0.05</v>
      </c>
      <c r="K12">
        <v>0.05</v>
      </c>
      <c r="L12">
        <v>0.05</v>
      </c>
      <c r="M12">
        <v>4.9000000000000002E-2</v>
      </c>
      <c r="N12" t="s">
        <v>17</v>
      </c>
    </row>
    <row r="13" spans="1:14">
      <c r="B13">
        <v>4.2000000000000003E-2</v>
      </c>
      <c r="C13">
        <v>4.2999999999999997E-2</v>
      </c>
      <c r="D13">
        <v>4.2999999999999997E-2</v>
      </c>
      <c r="E13">
        <v>4.2999999999999997E-2</v>
      </c>
      <c r="F13">
        <v>4.2999999999999997E-2</v>
      </c>
      <c r="G13">
        <v>4.2999999999999997E-2</v>
      </c>
      <c r="H13">
        <v>4.1000000000000002E-2</v>
      </c>
      <c r="I13">
        <v>4.2999999999999997E-2</v>
      </c>
      <c r="J13">
        <v>4.2000000000000003E-2</v>
      </c>
      <c r="K13">
        <v>4.2999999999999997E-2</v>
      </c>
      <c r="L13">
        <v>4.3999999999999997E-2</v>
      </c>
      <c r="M13">
        <v>3.7999999999999999E-2</v>
      </c>
      <c r="N13" t="s">
        <v>18</v>
      </c>
    </row>
    <row r="14" spans="1:14">
      <c r="A14" t="s">
        <v>24</v>
      </c>
      <c r="B14">
        <v>0.05</v>
      </c>
      <c r="C14">
        <v>0.05</v>
      </c>
      <c r="D14">
        <v>0.05</v>
      </c>
      <c r="E14">
        <v>0.05</v>
      </c>
      <c r="F14">
        <v>5.0999999999999997E-2</v>
      </c>
      <c r="G14">
        <v>5.0999999999999997E-2</v>
      </c>
      <c r="H14">
        <v>0.05</v>
      </c>
      <c r="I14">
        <v>0.05</v>
      </c>
      <c r="J14">
        <v>0.05</v>
      </c>
      <c r="K14">
        <v>5.6000000000000001E-2</v>
      </c>
      <c r="L14">
        <v>0.05</v>
      </c>
      <c r="M14">
        <v>4.9000000000000002E-2</v>
      </c>
      <c r="N14" t="s">
        <v>17</v>
      </c>
    </row>
    <row r="15" spans="1:14">
      <c r="B15">
        <v>4.2000000000000003E-2</v>
      </c>
      <c r="C15">
        <v>4.2999999999999997E-2</v>
      </c>
      <c r="D15">
        <v>4.4999999999999998E-2</v>
      </c>
      <c r="E15">
        <v>4.3999999999999997E-2</v>
      </c>
      <c r="F15">
        <v>4.4999999999999998E-2</v>
      </c>
      <c r="G15">
        <v>4.2999999999999997E-2</v>
      </c>
      <c r="H15">
        <v>4.2000000000000003E-2</v>
      </c>
      <c r="I15">
        <v>4.2999999999999997E-2</v>
      </c>
      <c r="J15">
        <v>4.3999999999999997E-2</v>
      </c>
      <c r="K15">
        <v>0.05</v>
      </c>
      <c r="L15">
        <v>4.3999999999999997E-2</v>
      </c>
      <c r="M15">
        <v>0.04</v>
      </c>
      <c r="N15" t="s">
        <v>18</v>
      </c>
    </row>
    <row r="16" spans="1:14">
      <c r="A16" t="s">
        <v>25</v>
      </c>
      <c r="B16">
        <v>0.05</v>
      </c>
      <c r="C16">
        <v>0.05</v>
      </c>
      <c r="D16">
        <v>5.0999999999999997E-2</v>
      </c>
      <c r="E16">
        <v>5.0999999999999997E-2</v>
      </c>
      <c r="F16">
        <v>4.9000000000000002E-2</v>
      </c>
      <c r="G16">
        <v>4.9000000000000002E-2</v>
      </c>
      <c r="H16">
        <v>0.05</v>
      </c>
      <c r="I16">
        <v>4.9000000000000002E-2</v>
      </c>
      <c r="J16">
        <v>0.05</v>
      </c>
      <c r="K16">
        <v>5.0999999999999997E-2</v>
      </c>
      <c r="L16">
        <v>0.05</v>
      </c>
      <c r="M16">
        <v>5.0999999999999997E-2</v>
      </c>
      <c r="N16" t="s">
        <v>17</v>
      </c>
    </row>
    <row r="17" spans="2:14">
      <c r="B17">
        <v>4.2000000000000003E-2</v>
      </c>
      <c r="C17">
        <v>4.2999999999999997E-2</v>
      </c>
      <c r="D17">
        <v>4.3999999999999997E-2</v>
      </c>
      <c r="E17">
        <v>4.4999999999999998E-2</v>
      </c>
      <c r="F17">
        <v>4.2000000000000003E-2</v>
      </c>
      <c r="G17">
        <v>4.2000000000000003E-2</v>
      </c>
      <c r="H17">
        <v>4.2999999999999997E-2</v>
      </c>
      <c r="I17">
        <v>4.2999999999999997E-2</v>
      </c>
      <c r="J17">
        <v>4.2999999999999997E-2</v>
      </c>
      <c r="K17">
        <v>4.3999999999999997E-2</v>
      </c>
      <c r="L17">
        <v>4.2999999999999997E-2</v>
      </c>
      <c r="M17">
        <v>4.2000000000000003E-2</v>
      </c>
      <c r="N17" t="s">
        <v>18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924D-7AC9-364D-93DB-BFF7678C83B5}">
  <dimension ref="A1:N32"/>
  <sheetViews>
    <sheetView topLeftCell="A5" zoomScaleNormal="125" workbookViewId="0">
      <selection activeCell="C27" sqref="C27:M27"/>
    </sheetView>
  </sheetViews>
  <sheetFormatPr baseColWidth="10" defaultRowHeight="20"/>
  <cols>
    <col min="2" max="2" width="13.7109375" bestFit="1" customWidth="1"/>
  </cols>
  <sheetData>
    <row r="1" spans="1:14">
      <c r="A1" t="s">
        <v>26</v>
      </c>
    </row>
    <row r="2" spans="1:14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4">
      <c r="A3" t="s">
        <v>0</v>
      </c>
      <c r="B3">
        <v>2446</v>
      </c>
      <c r="C3">
        <v>12670</v>
      </c>
      <c r="D3">
        <v>6610</v>
      </c>
      <c r="E3">
        <v>4915</v>
      </c>
      <c r="F3">
        <v>6320</v>
      </c>
      <c r="G3">
        <v>6222</v>
      </c>
      <c r="H3">
        <v>3869</v>
      </c>
      <c r="I3">
        <v>6862</v>
      </c>
      <c r="J3">
        <v>6332</v>
      </c>
      <c r="K3">
        <v>7465</v>
      </c>
      <c r="L3">
        <v>7643</v>
      </c>
      <c r="M3">
        <v>7916</v>
      </c>
    </row>
    <row r="4" spans="1:14">
      <c r="A4" t="s">
        <v>1</v>
      </c>
      <c r="B4">
        <v>2889</v>
      </c>
      <c r="C4">
        <v>8337</v>
      </c>
      <c r="D4">
        <v>5826</v>
      </c>
      <c r="E4">
        <v>4750</v>
      </c>
      <c r="F4">
        <v>7620</v>
      </c>
      <c r="G4">
        <v>5915</v>
      </c>
      <c r="H4">
        <v>5965</v>
      </c>
      <c r="I4">
        <v>4378</v>
      </c>
      <c r="J4">
        <v>5934</v>
      </c>
      <c r="K4">
        <v>4709</v>
      </c>
      <c r="L4">
        <v>5440</v>
      </c>
      <c r="M4">
        <v>9235</v>
      </c>
    </row>
    <row r="5" spans="1:14">
      <c r="A5" t="s">
        <v>2</v>
      </c>
      <c r="B5">
        <v>2782</v>
      </c>
      <c r="C5">
        <v>15948</v>
      </c>
      <c r="D5">
        <v>6620</v>
      </c>
      <c r="E5">
        <v>4998</v>
      </c>
      <c r="G5">
        <v>7181</v>
      </c>
      <c r="H5">
        <v>5789</v>
      </c>
      <c r="I5">
        <v>3975</v>
      </c>
      <c r="J5">
        <v>4418</v>
      </c>
      <c r="K5">
        <v>5854</v>
      </c>
      <c r="L5">
        <v>6085</v>
      </c>
      <c r="M5">
        <v>7431</v>
      </c>
    </row>
    <row r="7" spans="1:14">
      <c r="A7" t="s">
        <v>27</v>
      </c>
    </row>
    <row r="8" spans="1:14"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</row>
    <row r="9" spans="1:14">
      <c r="A9" t="s">
        <v>0</v>
      </c>
      <c r="B9">
        <v>0.1</v>
      </c>
      <c r="C9">
        <v>0.111</v>
      </c>
      <c r="D9">
        <v>0.13800000000000001</v>
      </c>
      <c r="E9">
        <v>0.11799999999999999</v>
      </c>
      <c r="F9">
        <v>0.13100000000000001</v>
      </c>
      <c r="G9">
        <v>0.13900000000000001</v>
      </c>
      <c r="H9">
        <v>0.106</v>
      </c>
      <c r="I9">
        <v>0.122</v>
      </c>
      <c r="J9">
        <v>0.13500000000000001</v>
      </c>
      <c r="K9">
        <v>0.13200000000000001</v>
      </c>
      <c r="L9">
        <v>0.14799999999999999</v>
      </c>
      <c r="M9">
        <v>0.14499999999999999</v>
      </c>
      <c r="N9">
        <v>4.9000000000000002E-2</v>
      </c>
    </row>
    <row r="10" spans="1:14">
      <c r="A10" t="s">
        <v>1</v>
      </c>
      <c r="B10">
        <v>9.6000000000000002E-2</v>
      </c>
      <c r="C10">
        <v>9.6000000000000002E-2</v>
      </c>
      <c r="D10">
        <v>0.13</v>
      </c>
      <c r="E10">
        <v>0.11899999999999999</v>
      </c>
      <c r="F10">
        <v>0.157</v>
      </c>
      <c r="G10">
        <v>0.14499999999999999</v>
      </c>
      <c r="H10">
        <v>0.14799999999999999</v>
      </c>
      <c r="I10">
        <v>0.12</v>
      </c>
      <c r="J10">
        <v>0.13900000000000001</v>
      </c>
      <c r="K10">
        <v>0.11799999999999999</v>
      </c>
      <c r="L10">
        <v>0.121</v>
      </c>
      <c r="M10">
        <v>0.157</v>
      </c>
      <c r="N10">
        <v>4.9000000000000002E-2</v>
      </c>
    </row>
    <row r="11" spans="1:14">
      <c r="A11" t="s">
        <v>2</v>
      </c>
      <c r="B11">
        <v>8.6999999999999994E-2</v>
      </c>
      <c r="C11">
        <v>0.11</v>
      </c>
      <c r="D11">
        <v>0.154</v>
      </c>
      <c r="E11">
        <v>0.124</v>
      </c>
      <c r="G11">
        <v>0.155</v>
      </c>
      <c r="H11">
        <v>0.13200000000000001</v>
      </c>
      <c r="I11">
        <v>0.111</v>
      </c>
      <c r="J11">
        <v>0.12</v>
      </c>
      <c r="K11">
        <v>0.126</v>
      </c>
      <c r="L11">
        <v>0.13700000000000001</v>
      </c>
      <c r="M11">
        <v>0.14099999999999999</v>
      </c>
      <c r="N11">
        <v>4.9000000000000002E-2</v>
      </c>
    </row>
    <row r="12" spans="1:14">
      <c r="N12">
        <v>4.9000000000000002E-2</v>
      </c>
    </row>
    <row r="13" spans="1:14">
      <c r="A13" t="s">
        <v>28</v>
      </c>
    </row>
    <row r="14" spans="1:14"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</row>
    <row r="15" spans="1:14">
      <c r="A15" t="s">
        <v>0</v>
      </c>
      <c r="B15">
        <f>B9-0.049</f>
        <v>5.1000000000000004E-2</v>
      </c>
      <c r="C15">
        <f t="shared" ref="C15:M15" si="0">C9-0.049</f>
        <v>6.2E-2</v>
      </c>
      <c r="D15">
        <f t="shared" si="0"/>
        <v>8.900000000000001E-2</v>
      </c>
      <c r="E15">
        <f t="shared" si="0"/>
        <v>6.8999999999999992E-2</v>
      </c>
      <c r="F15">
        <f t="shared" si="0"/>
        <v>8.2000000000000003E-2</v>
      </c>
      <c r="G15">
        <f t="shared" si="0"/>
        <v>9.0000000000000011E-2</v>
      </c>
      <c r="H15">
        <f t="shared" si="0"/>
        <v>5.6999999999999995E-2</v>
      </c>
      <c r="I15">
        <f t="shared" si="0"/>
        <v>7.2999999999999995E-2</v>
      </c>
      <c r="J15">
        <f t="shared" si="0"/>
        <v>8.6000000000000007E-2</v>
      </c>
      <c r="K15">
        <f t="shared" si="0"/>
        <v>8.3000000000000004E-2</v>
      </c>
      <c r="L15">
        <f t="shared" si="0"/>
        <v>9.8999999999999991E-2</v>
      </c>
      <c r="M15">
        <f t="shared" si="0"/>
        <v>9.5999999999999988E-2</v>
      </c>
    </row>
    <row r="16" spans="1:14">
      <c r="A16" t="s">
        <v>1</v>
      </c>
      <c r="B16">
        <f t="shared" ref="B16:M17" si="1">B10-0.049</f>
        <v>4.7E-2</v>
      </c>
      <c r="C16">
        <f t="shared" si="1"/>
        <v>4.7E-2</v>
      </c>
      <c r="D16">
        <f t="shared" si="1"/>
        <v>8.1000000000000003E-2</v>
      </c>
      <c r="E16">
        <f t="shared" si="1"/>
        <v>6.9999999999999993E-2</v>
      </c>
      <c r="F16">
        <f t="shared" si="1"/>
        <v>0.108</v>
      </c>
      <c r="G16">
        <f t="shared" si="1"/>
        <v>9.5999999999999988E-2</v>
      </c>
      <c r="H16">
        <f t="shared" si="1"/>
        <v>9.8999999999999991E-2</v>
      </c>
      <c r="I16">
        <f t="shared" si="1"/>
        <v>7.0999999999999994E-2</v>
      </c>
      <c r="J16">
        <f t="shared" si="1"/>
        <v>9.0000000000000011E-2</v>
      </c>
      <c r="K16">
        <f t="shared" si="1"/>
        <v>6.8999999999999992E-2</v>
      </c>
      <c r="L16">
        <f t="shared" si="1"/>
        <v>7.1999999999999995E-2</v>
      </c>
      <c r="M16">
        <f t="shared" si="1"/>
        <v>0.108</v>
      </c>
    </row>
    <row r="17" spans="1:13">
      <c r="A17" t="s">
        <v>2</v>
      </c>
      <c r="B17">
        <f t="shared" si="1"/>
        <v>3.7999999999999992E-2</v>
      </c>
      <c r="C17">
        <f t="shared" si="1"/>
        <v>6.0999999999999999E-2</v>
      </c>
      <c r="D17">
        <f t="shared" si="1"/>
        <v>0.105</v>
      </c>
      <c r="E17">
        <f t="shared" si="1"/>
        <v>7.4999999999999997E-2</v>
      </c>
      <c r="G17">
        <f t="shared" si="1"/>
        <v>0.106</v>
      </c>
      <c r="H17">
        <f t="shared" si="1"/>
        <v>8.3000000000000004E-2</v>
      </c>
      <c r="I17">
        <f t="shared" si="1"/>
        <v>6.2E-2</v>
      </c>
      <c r="J17">
        <f t="shared" si="1"/>
        <v>7.0999999999999994E-2</v>
      </c>
      <c r="K17">
        <f t="shared" si="1"/>
        <v>7.6999999999999999E-2</v>
      </c>
      <c r="L17">
        <f t="shared" si="1"/>
        <v>8.8000000000000009E-2</v>
      </c>
      <c r="M17">
        <f t="shared" si="1"/>
        <v>9.1999999999999985E-2</v>
      </c>
    </row>
    <row r="19" spans="1:13">
      <c r="A19" t="s">
        <v>29</v>
      </c>
    </row>
    <row r="20" spans="1:13"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  <c r="J20" t="s">
        <v>11</v>
      </c>
      <c r="K20" t="s">
        <v>12</v>
      </c>
      <c r="L20" t="s">
        <v>13</v>
      </c>
      <c r="M20" t="s">
        <v>14</v>
      </c>
    </row>
    <row r="21" spans="1:13">
      <c r="A21" t="s">
        <v>0</v>
      </c>
      <c r="B21">
        <f>B3/B9</f>
        <v>24460</v>
      </c>
      <c r="C21">
        <f t="shared" ref="C21:M21" si="2">C3/C9</f>
        <v>114144.14414414414</v>
      </c>
      <c r="D21">
        <f t="shared" si="2"/>
        <v>47898.55072463768</v>
      </c>
      <c r="E21">
        <f t="shared" si="2"/>
        <v>41652.542372881355</v>
      </c>
      <c r="F21">
        <f t="shared" si="2"/>
        <v>48244.274809160306</v>
      </c>
      <c r="G21">
        <f t="shared" si="2"/>
        <v>44762.589928057547</v>
      </c>
      <c r="H21">
        <f t="shared" si="2"/>
        <v>36500</v>
      </c>
      <c r="I21">
        <f t="shared" si="2"/>
        <v>56245.901639344265</v>
      </c>
      <c r="J21">
        <f t="shared" si="2"/>
        <v>46903.703703703701</v>
      </c>
      <c r="K21">
        <f t="shared" si="2"/>
        <v>56553.030303030304</v>
      </c>
      <c r="L21">
        <f t="shared" si="2"/>
        <v>51641.891891891893</v>
      </c>
      <c r="M21">
        <f t="shared" si="2"/>
        <v>54593.103448275862</v>
      </c>
    </row>
    <row r="22" spans="1:13">
      <c r="A22" t="s">
        <v>1</v>
      </c>
      <c r="B22">
        <f t="shared" ref="B22:M23" si="3">B4/B10</f>
        <v>30093.75</v>
      </c>
      <c r="C22">
        <f t="shared" si="3"/>
        <v>86843.75</v>
      </c>
      <c r="D22">
        <f t="shared" si="3"/>
        <v>44815.384615384617</v>
      </c>
      <c r="E22">
        <f t="shared" si="3"/>
        <v>39915.966386554624</v>
      </c>
      <c r="F22">
        <f t="shared" si="3"/>
        <v>48535.03184713376</v>
      </c>
      <c r="G22">
        <f t="shared" si="3"/>
        <v>40793.103448275862</v>
      </c>
      <c r="H22">
        <f t="shared" si="3"/>
        <v>40304.054054054053</v>
      </c>
      <c r="I22">
        <f t="shared" si="3"/>
        <v>36483.333333333336</v>
      </c>
      <c r="J22">
        <f t="shared" si="3"/>
        <v>42690.647482014385</v>
      </c>
      <c r="K22">
        <f t="shared" si="3"/>
        <v>39906.779661016953</v>
      </c>
      <c r="L22">
        <f t="shared" si="3"/>
        <v>44958.677685950417</v>
      </c>
      <c r="M22">
        <f t="shared" si="3"/>
        <v>58821.656050955411</v>
      </c>
    </row>
    <row r="23" spans="1:13">
      <c r="A23" t="s">
        <v>2</v>
      </c>
      <c r="B23">
        <f t="shared" si="3"/>
        <v>31977.011494252874</v>
      </c>
      <c r="C23">
        <f t="shared" si="3"/>
        <v>144981.81818181818</v>
      </c>
      <c r="D23">
        <f t="shared" si="3"/>
        <v>42987.012987012989</v>
      </c>
      <c r="E23">
        <f t="shared" si="3"/>
        <v>40306.451612903227</v>
      </c>
      <c r="G23">
        <f t="shared" si="3"/>
        <v>46329.032258064515</v>
      </c>
      <c r="H23">
        <f t="shared" si="3"/>
        <v>43856.060606060601</v>
      </c>
      <c r="I23">
        <f t="shared" si="3"/>
        <v>35810.810810810814</v>
      </c>
      <c r="J23">
        <f t="shared" si="3"/>
        <v>36816.666666666672</v>
      </c>
      <c r="K23">
        <f t="shared" si="3"/>
        <v>46460.317460317463</v>
      </c>
      <c r="L23">
        <f t="shared" si="3"/>
        <v>44416.05839416058</v>
      </c>
      <c r="M23">
        <f t="shared" si="3"/>
        <v>52702.127659574471</v>
      </c>
    </row>
    <row r="24" spans="1:13">
      <c r="A24" t="s">
        <v>30</v>
      </c>
      <c r="B24">
        <f>AVERAGE(B21:B23)</f>
        <v>28843.587164750959</v>
      </c>
      <c r="C24">
        <f t="shared" ref="C24:M24" si="4">AVERAGE(C21:C23)</f>
        <v>115323.23744198744</v>
      </c>
      <c r="D24">
        <f t="shared" si="4"/>
        <v>45233.6494423451</v>
      </c>
      <c r="E24">
        <f t="shared" si="4"/>
        <v>40624.986790779738</v>
      </c>
      <c r="F24">
        <f t="shared" si="4"/>
        <v>48389.653328147033</v>
      </c>
      <c r="G24">
        <f t="shared" si="4"/>
        <v>43961.575211465977</v>
      </c>
      <c r="H24">
        <f t="shared" si="4"/>
        <v>40220.038220038223</v>
      </c>
      <c r="I24">
        <f t="shared" si="4"/>
        <v>42846.681927829472</v>
      </c>
      <c r="J24">
        <f t="shared" si="4"/>
        <v>42137.005950794919</v>
      </c>
      <c r="K24">
        <f t="shared" si="4"/>
        <v>47640.042474788235</v>
      </c>
      <c r="L24">
        <f t="shared" si="4"/>
        <v>47005.542657334299</v>
      </c>
      <c r="M24">
        <f t="shared" si="4"/>
        <v>55372.295719601912</v>
      </c>
    </row>
    <row r="26" spans="1:13">
      <c r="A26" t="s">
        <v>31</v>
      </c>
    </row>
    <row r="27" spans="1:13">
      <c r="B27" t="s">
        <v>3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</row>
    <row r="28" spans="1:13">
      <c r="A28" t="s">
        <v>0</v>
      </c>
      <c r="B28">
        <f>(B21-28843.587)*100/(115323.24-28843.587)</f>
        <v>-5.0689229754425575</v>
      </c>
      <c r="C28">
        <f t="shared" ref="C28:M28" si="5">(C21-28843.587)*100/(115323.24-28843.587)</f>
        <v>98.636562688502153</v>
      </c>
      <c r="D28">
        <f t="shared" si="5"/>
        <v>22.034042764530611</v>
      </c>
      <c r="E28">
        <f t="shared" si="5"/>
        <v>14.811524940879856</v>
      </c>
      <c r="F28">
        <f t="shared" si="5"/>
        <v>22.433817824361885</v>
      </c>
      <c r="G28">
        <f t="shared" si="5"/>
        <v>18.407801576236142</v>
      </c>
      <c r="H28">
        <f t="shared" si="5"/>
        <v>8.8534270598888742</v>
      </c>
      <c r="I28">
        <f t="shared" si="5"/>
        <v>31.686429915883526</v>
      </c>
      <c r="J28">
        <f t="shared" si="5"/>
        <v>20.883660002317193</v>
      </c>
      <c r="K28">
        <f t="shared" si="5"/>
        <v>32.041575494099526</v>
      </c>
      <c r="L28">
        <f t="shared" si="5"/>
        <v>26.362622999761449</v>
      </c>
      <c r="M28">
        <f t="shared" si="5"/>
        <v>29.775230999453548</v>
      </c>
    </row>
    <row r="29" spans="1:13">
      <c r="A29" t="s">
        <v>1</v>
      </c>
      <c r="B29">
        <f t="shared" ref="B29:M30" si="6">(B22-28843.587)*100/(115323.24-28843.587)</f>
        <v>1.4456151899684431</v>
      </c>
      <c r="C29">
        <f t="shared" si="6"/>
        <v>67.067987657166015</v>
      </c>
      <c r="D29">
        <f t="shared" si="6"/>
        <v>18.468850257047883</v>
      </c>
      <c r="E29">
        <f t="shared" si="6"/>
        <v>12.803450294319086</v>
      </c>
      <c r="F29">
        <f t="shared" si="6"/>
        <v>22.770032214553126</v>
      </c>
      <c r="G29">
        <f t="shared" si="6"/>
        <v>13.817720161615199</v>
      </c>
      <c r="H29">
        <f t="shared" si="6"/>
        <v>13.252212117518617</v>
      </c>
      <c r="I29">
        <f t="shared" si="6"/>
        <v>8.8341547038045309</v>
      </c>
      <c r="J29">
        <f t="shared" si="6"/>
        <v>16.011928819851281</v>
      </c>
      <c r="K29">
        <f t="shared" si="6"/>
        <v>12.792827303570416</v>
      </c>
      <c r="L29">
        <f t="shared" si="6"/>
        <v>18.634545961869687</v>
      </c>
      <c r="M29">
        <f t="shared" si="6"/>
        <v>34.664881288267203</v>
      </c>
    </row>
    <row r="30" spans="1:13">
      <c r="A30" t="s">
        <v>2</v>
      </c>
      <c r="B30">
        <f t="shared" si="6"/>
        <v>3.6233083569991598</v>
      </c>
      <c r="C30">
        <f t="shared" si="6"/>
        <v>134.29544078052459</v>
      </c>
      <c r="D30">
        <f t="shared" si="6"/>
        <v>16.354628512458287</v>
      </c>
      <c r="E30">
        <f t="shared" si="6"/>
        <v>13.254984513991085</v>
      </c>
      <c r="G30">
        <f t="shared" si="6"/>
        <v>20.219143638405342</v>
      </c>
      <c r="H30">
        <f t="shared" si="6"/>
        <v>17.359544222570598</v>
      </c>
      <c r="I30">
        <f t="shared" si="6"/>
        <v>8.0564890920767382</v>
      </c>
      <c r="J30">
        <f t="shared" si="6"/>
        <v>9.2196018254914502</v>
      </c>
      <c r="K30">
        <f t="shared" si="6"/>
        <v>20.370954148390791</v>
      </c>
      <c r="L30">
        <f t="shared" si="6"/>
        <v>18.007092829293128</v>
      </c>
      <c r="M30">
        <f t="shared" si="6"/>
        <v>27.588617474649752</v>
      </c>
    </row>
    <row r="31" spans="1:13">
      <c r="A31" t="s">
        <v>30</v>
      </c>
      <c r="B31">
        <f>AVERAGE(B28:B30)</f>
        <v>1.9050834835591482E-7</v>
      </c>
      <c r="C31">
        <f t="shared" ref="C31:M31" si="7">AVERAGE(C28:C30)</f>
        <v>99.999997042064251</v>
      </c>
      <c r="D31">
        <f t="shared" si="7"/>
        <v>18.952507178012258</v>
      </c>
      <c r="E31">
        <f t="shared" si="7"/>
        <v>13.623319916396675</v>
      </c>
      <c r="F31">
        <f t="shared" si="7"/>
        <v>22.601925019457504</v>
      </c>
      <c r="G31">
        <f t="shared" si="7"/>
        <v>17.481555125418893</v>
      </c>
      <c r="H31">
        <f t="shared" si="7"/>
        <v>13.155061133326029</v>
      </c>
      <c r="I31">
        <f t="shared" si="7"/>
        <v>16.1923579039216</v>
      </c>
      <c r="J31">
        <f t="shared" si="7"/>
        <v>15.371730215886643</v>
      </c>
      <c r="K31">
        <f t="shared" si="7"/>
        <v>21.735118982020243</v>
      </c>
      <c r="L31">
        <f t="shared" si="7"/>
        <v>21.001420596974754</v>
      </c>
      <c r="M31">
        <f t="shared" si="7"/>
        <v>30.676243254123502</v>
      </c>
    </row>
    <row r="32" spans="1:13">
      <c r="A32" t="s">
        <v>32</v>
      </c>
      <c r="B32">
        <f>STDEV(B28:B30)</f>
        <v>4.522839089462324</v>
      </c>
      <c r="C32">
        <f t="shared" ref="C32:M32" si="8">STDEV(C28:C30)</f>
        <v>33.634458941548324</v>
      </c>
      <c r="D32">
        <f t="shared" si="8"/>
        <v>2.8704319491251238</v>
      </c>
      <c r="E32">
        <f t="shared" si="8"/>
        <v>1.0534914204866628</v>
      </c>
      <c r="F32">
        <f t="shared" si="8"/>
        <v>0.23773947523672642</v>
      </c>
      <c r="G32">
        <f t="shared" si="8"/>
        <v>3.2996977131305067</v>
      </c>
      <c r="H32">
        <f t="shared" si="8"/>
        <v>4.2538906934257659</v>
      </c>
      <c r="I32">
        <f t="shared" si="8"/>
        <v>13.42389256455863</v>
      </c>
      <c r="J32">
        <f t="shared" si="8"/>
        <v>5.8583234783923084</v>
      </c>
      <c r="K32">
        <f t="shared" si="8"/>
        <v>9.6966120885380835</v>
      </c>
      <c r="L32">
        <f t="shared" si="8"/>
        <v>4.6535247674348348</v>
      </c>
      <c r="M32">
        <f t="shared" si="8"/>
        <v>3.6231539716491521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A85B-35DF-054D-B5A7-5EA0AB24BB23}">
  <dimension ref="A1:N32"/>
  <sheetViews>
    <sheetView tabSelected="1" zoomScaleNormal="125" workbookViewId="0">
      <selection activeCell="F23" sqref="F23"/>
    </sheetView>
  </sheetViews>
  <sheetFormatPr baseColWidth="10" defaultRowHeight="20"/>
  <sheetData>
    <row r="1" spans="1:14">
      <c r="A1" t="s">
        <v>26</v>
      </c>
    </row>
    <row r="2" spans="1:14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4">
      <c r="A3" t="s">
        <v>0</v>
      </c>
      <c r="B3">
        <v>2446</v>
      </c>
      <c r="C3">
        <v>12670</v>
      </c>
      <c r="D3">
        <v>6610</v>
      </c>
      <c r="E3">
        <v>4915</v>
      </c>
      <c r="F3">
        <v>6320</v>
      </c>
      <c r="G3">
        <v>6222</v>
      </c>
      <c r="H3">
        <v>3869</v>
      </c>
      <c r="I3">
        <v>6862</v>
      </c>
      <c r="J3">
        <v>6332</v>
      </c>
      <c r="K3">
        <v>7465</v>
      </c>
      <c r="L3">
        <v>7643</v>
      </c>
      <c r="M3">
        <v>7916</v>
      </c>
    </row>
    <row r="4" spans="1:14">
      <c r="A4" t="s">
        <v>1</v>
      </c>
      <c r="B4">
        <v>2889</v>
      </c>
      <c r="C4">
        <v>8337</v>
      </c>
      <c r="D4">
        <v>5826</v>
      </c>
      <c r="E4">
        <v>4750</v>
      </c>
      <c r="F4">
        <v>7620</v>
      </c>
      <c r="G4">
        <v>5915</v>
      </c>
      <c r="H4">
        <v>5965</v>
      </c>
      <c r="I4">
        <v>4378</v>
      </c>
      <c r="J4">
        <v>5934</v>
      </c>
      <c r="K4">
        <v>4709</v>
      </c>
      <c r="L4">
        <v>5440</v>
      </c>
      <c r="M4">
        <v>9235</v>
      </c>
    </row>
    <row r="5" spans="1:14">
      <c r="A5" t="s">
        <v>2</v>
      </c>
      <c r="B5">
        <v>2782</v>
      </c>
      <c r="C5">
        <v>15948</v>
      </c>
      <c r="D5">
        <v>6620</v>
      </c>
      <c r="E5">
        <v>4998</v>
      </c>
      <c r="G5">
        <v>7181</v>
      </c>
      <c r="H5">
        <v>5789</v>
      </c>
      <c r="I5">
        <v>3975</v>
      </c>
      <c r="J5">
        <v>4418</v>
      </c>
      <c r="K5">
        <v>5854</v>
      </c>
      <c r="L5">
        <v>6085</v>
      </c>
      <c r="M5">
        <v>7431</v>
      </c>
    </row>
    <row r="7" spans="1:14">
      <c r="A7" t="s">
        <v>27</v>
      </c>
    </row>
    <row r="8" spans="1:14"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</row>
    <row r="9" spans="1:14">
      <c r="A9" t="s">
        <v>0</v>
      </c>
      <c r="B9">
        <v>0.1</v>
      </c>
      <c r="C9">
        <v>0.111</v>
      </c>
      <c r="D9">
        <v>0.13800000000000001</v>
      </c>
      <c r="E9">
        <v>0.11799999999999999</v>
      </c>
      <c r="F9">
        <v>0.13100000000000001</v>
      </c>
      <c r="G9">
        <v>0.13900000000000001</v>
      </c>
      <c r="H9">
        <v>0.106</v>
      </c>
      <c r="I9">
        <v>0.122</v>
      </c>
      <c r="J9">
        <v>0.13500000000000001</v>
      </c>
      <c r="K9">
        <v>0.13200000000000001</v>
      </c>
      <c r="L9">
        <v>0.14799999999999999</v>
      </c>
      <c r="M9">
        <v>0.14499999999999999</v>
      </c>
      <c r="N9">
        <v>4.9000000000000002E-2</v>
      </c>
    </row>
    <row r="10" spans="1:14">
      <c r="A10" t="s">
        <v>1</v>
      </c>
      <c r="B10">
        <v>9.6000000000000002E-2</v>
      </c>
      <c r="C10">
        <v>9.6000000000000002E-2</v>
      </c>
      <c r="D10">
        <v>0.13</v>
      </c>
      <c r="E10">
        <v>0.11899999999999999</v>
      </c>
      <c r="F10">
        <v>0.157</v>
      </c>
      <c r="G10">
        <v>0.14499999999999999</v>
      </c>
      <c r="H10">
        <v>0.14799999999999999</v>
      </c>
      <c r="I10">
        <v>0.12</v>
      </c>
      <c r="J10">
        <v>0.13900000000000001</v>
      </c>
      <c r="K10">
        <v>0.11799999999999999</v>
      </c>
      <c r="L10">
        <v>0.121</v>
      </c>
      <c r="M10">
        <v>0.157</v>
      </c>
      <c r="N10">
        <v>4.9000000000000002E-2</v>
      </c>
    </row>
    <row r="11" spans="1:14">
      <c r="A11" t="s">
        <v>2</v>
      </c>
      <c r="B11">
        <v>8.6999999999999994E-2</v>
      </c>
      <c r="C11">
        <v>0.11</v>
      </c>
      <c r="D11">
        <v>0.154</v>
      </c>
      <c r="E11">
        <v>0.124</v>
      </c>
      <c r="G11">
        <v>0.155</v>
      </c>
      <c r="H11">
        <v>0.13200000000000001</v>
      </c>
      <c r="I11">
        <v>0.111</v>
      </c>
      <c r="J11">
        <v>0.12</v>
      </c>
      <c r="K11">
        <v>0.126</v>
      </c>
      <c r="L11">
        <v>0.13700000000000001</v>
      </c>
      <c r="M11">
        <v>0.14099999999999999</v>
      </c>
      <c r="N11">
        <v>4.9000000000000002E-2</v>
      </c>
    </row>
    <row r="12" spans="1:14">
      <c r="N12">
        <v>4.9000000000000002E-2</v>
      </c>
    </row>
    <row r="13" spans="1:14">
      <c r="A13" t="s">
        <v>28</v>
      </c>
    </row>
    <row r="14" spans="1:14"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</row>
    <row r="15" spans="1:14">
      <c r="A15" t="s">
        <v>0</v>
      </c>
      <c r="B15">
        <f>B9-0.049</f>
        <v>5.1000000000000004E-2</v>
      </c>
      <c r="C15">
        <f t="shared" ref="C15:M15" si="0">C9-0.049</f>
        <v>6.2E-2</v>
      </c>
      <c r="D15">
        <f t="shared" si="0"/>
        <v>8.900000000000001E-2</v>
      </c>
      <c r="E15">
        <f t="shared" si="0"/>
        <v>6.8999999999999992E-2</v>
      </c>
      <c r="F15">
        <f t="shared" si="0"/>
        <v>8.2000000000000003E-2</v>
      </c>
      <c r="G15">
        <f t="shared" si="0"/>
        <v>9.0000000000000011E-2</v>
      </c>
      <c r="H15">
        <f t="shared" si="0"/>
        <v>5.6999999999999995E-2</v>
      </c>
      <c r="I15">
        <f t="shared" si="0"/>
        <v>7.2999999999999995E-2</v>
      </c>
      <c r="J15">
        <f t="shared" si="0"/>
        <v>8.6000000000000007E-2</v>
      </c>
      <c r="K15">
        <f t="shared" si="0"/>
        <v>8.3000000000000004E-2</v>
      </c>
      <c r="L15">
        <f t="shared" si="0"/>
        <v>9.8999999999999991E-2</v>
      </c>
      <c r="M15">
        <f t="shared" si="0"/>
        <v>9.5999999999999988E-2</v>
      </c>
    </row>
    <row r="16" spans="1:14">
      <c r="A16" t="s">
        <v>1</v>
      </c>
      <c r="B16">
        <f t="shared" ref="B16:M17" si="1">B10-0.049</f>
        <v>4.7E-2</v>
      </c>
      <c r="C16">
        <f t="shared" si="1"/>
        <v>4.7E-2</v>
      </c>
      <c r="D16">
        <f t="shared" si="1"/>
        <v>8.1000000000000003E-2</v>
      </c>
      <c r="E16">
        <f t="shared" si="1"/>
        <v>6.9999999999999993E-2</v>
      </c>
      <c r="F16">
        <f t="shared" si="1"/>
        <v>0.108</v>
      </c>
      <c r="G16">
        <f t="shared" si="1"/>
        <v>9.5999999999999988E-2</v>
      </c>
      <c r="H16">
        <f t="shared" si="1"/>
        <v>9.8999999999999991E-2</v>
      </c>
      <c r="I16">
        <f t="shared" si="1"/>
        <v>7.0999999999999994E-2</v>
      </c>
      <c r="J16">
        <f t="shared" si="1"/>
        <v>9.0000000000000011E-2</v>
      </c>
      <c r="K16">
        <f t="shared" si="1"/>
        <v>6.8999999999999992E-2</v>
      </c>
      <c r="L16">
        <f t="shared" si="1"/>
        <v>7.1999999999999995E-2</v>
      </c>
      <c r="M16">
        <f t="shared" si="1"/>
        <v>0.108</v>
      </c>
    </row>
    <row r="17" spans="1:13">
      <c r="A17" t="s">
        <v>2</v>
      </c>
      <c r="B17">
        <f t="shared" si="1"/>
        <v>3.7999999999999992E-2</v>
      </c>
      <c r="C17">
        <f t="shared" si="1"/>
        <v>6.0999999999999999E-2</v>
      </c>
      <c r="D17">
        <f t="shared" si="1"/>
        <v>0.105</v>
      </c>
      <c r="E17">
        <f t="shared" si="1"/>
        <v>7.4999999999999997E-2</v>
      </c>
      <c r="G17">
        <f t="shared" si="1"/>
        <v>0.106</v>
      </c>
      <c r="H17">
        <f t="shared" si="1"/>
        <v>8.3000000000000004E-2</v>
      </c>
      <c r="I17">
        <f t="shared" si="1"/>
        <v>6.2E-2</v>
      </c>
      <c r="J17">
        <f t="shared" si="1"/>
        <v>7.0999999999999994E-2</v>
      </c>
      <c r="K17">
        <f t="shared" si="1"/>
        <v>7.6999999999999999E-2</v>
      </c>
      <c r="L17">
        <f t="shared" si="1"/>
        <v>8.8000000000000009E-2</v>
      </c>
      <c r="M17">
        <f t="shared" si="1"/>
        <v>9.1999999999999985E-2</v>
      </c>
    </row>
    <row r="19" spans="1:13">
      <c r="A19" t="s">
        <v>29</v>
      </c>
    </row>
    <row r="20" spans="1:13"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  <c r="J20" t="s">
        <v>11</v>
      </c>
      <c r="K20" t="s">
        <v>12</v>
      </c>
      <c r="L20" t="s">
        <v>13</v>
      </c>
      <c r="M20" t="s">
        <v>14</v>
      </c>
    </row>
    <row r="21" spans="1:13">
      <c r="A21" t="s">
        <v>0</v>
      </c>
      <c r="B21">
        <f>B3/B15</f>
        <v>47960.784313725489</v>
      </c>
      <c r="C21">
        <f t="shared" ref="C21:M21" si="2">C3/C15</f>
        <v>204354.83870967742</v>
      </c>
      <c r="D21">
        <f t="shared" si="2"/>
        <v>74269.66292134831</v>
      </c>
      <c r="E21">
        <f t="shared" si="2"/>
        <v>71231.884057971023</v>
      </c>
      <c r="F21">
        <f t="shared" si="2"/>
        <v>77073.170731707316</v>
      </c>
      <c r="G21">
        <f t="shared" si="2"/>
        <v>69133.333333333328</v>
      </c>
      <c r="H21">
        <f t="shared" si="2"/>
        <v>67877.192982456152</v>
      </c>
      <c r="I21">
        <f t="shared" si="2"/>
        <v>94000</v>
      </c>
      <c r="J21">
        <f t="shared" si="2"/>
        <v>73627.906976744183</v>
      </c>
      <c r="K21">
        <f t="shared" si="2"/>
        <v>89939.759036144576</v>
      </c>
      <c r="L21">
        <f t="shared" si="2"/>
        <v>77202.020202020212</v>
      </c>
      <c r="M21">
        <f t="shared" si="2"/>
        <v>82458.333333333343</v>
      </c>
    </row>
    <row r="22" spans="1:13">
      <c r="A22" t="s">
        <v>1</v>
      </c>
      <c r="B22">
        <f t="shared" ref="B22:M23" si="3">B4/B16</f>
        <v>61468.085106382976</v>
      </c>
      <c r="C22">
        <f t="shared" si="3"/>
        <v>177382.97872340426</v>
      </c>
      <c r="D22">
        <f t="shared" si="3"/>
        <v>71925.925925925927</v>
      </c>
      <c r="E22">
        <f t="shared" si="3"/>
        <v>67857.14285714287</v>
      </c>
      <c r="F22">
        <f t="shared" si="3"/>
        <v>70555.555555555562</v>
      </c>
      <c r="G22">
        <f t="shared" si="3"/>
        <v>61614.583333333343</v>
      </c>
      <c r="H22">
        <f t="shared" si="3"/>
        <v>60252.525252525258</v>
      </c>
      <c r="I22">
        <f t="shared" si="3"/>
        <v>61661.971830985924</v>
      </c>
      <c r="J22">
        <f t="shared" si="3"/>
        <v>65933.333333333328</v>
      </c>
      <c r="K22">
        <f t="shared" si="3"/>
        <v>68246.376811594208</v>
      </c>
      <c r="L22">
        <f t="shared" si="3"/>
        <v>75555.555555555562</v>
      </c>
      <c r="M22">
        <f t="shared" si="3"/>
        <v>85509.259259259255</v>
      </c>
    </row>
    <row r="23" spans="1:13">
      <c r="A23" t="s">
        <v>2</v>
      </c>
      <c r="B23">
        <f t="shared" si="3"/>
        <v>73210.526315789495</v>
      </c>
      <c r="C23">
        <f t="shared" si="3"/>
        <v>261442.62295081967</v>
      </c>
      <c r="D23">
        <f t="shared" si="3"/>
        <v>63047.619047619053</v>
      </c>
      <c r="E23">
        <f t="shared" si="3"/>
        <v>66640</v>
      </c>
      <c r="G23">
        <f t="shared" si="3"/>
        <v>67745.283018867922</v>
      </c>
      <c r="H23">
        <f t="shared" si="3"/>
        <v>69746.987951807227</v>
      </c>
      <c r="I23">
        <f t="shared" si="3"/>
        <v>64112.903225806454</v>
      </c>
      <c r="J23">
        <f t="shared" si="3"/>
        <v>62225.352112676061</v>
      </c>
      <c r="K23">
        <f t="shared" si="3"/>
        <v>76025.974025974021</v>
      </c>
      <c r="L23">
        <f t="shared" si="3"/>
        <v>69147.727272727265</v>
      </c>
      <c r="M23">
        <f t="shared" si="3"/>
        <v>80771.739130434798</v>
      </c>
    </row>
    <row r="24" spans="1:13">
      <c r="A24" t="s">
        <v>30</v>
      </c>
      <c r="B24">
        <f>AVERAGE(B21:B23)</f>
        <v>60879.798578632654</v>
      </c>
      <c r="C24">
        <f t="shared" ref="C24:M24" si="4">AVERAGE(C21:C23)</f>
        <v>214393.48012796711</v>
      </c>
      <c r="D24">
        <f t="shared" si="4"/>
        <v>69747.735964964435</v>
      </c>
      <c r="E24">
        <f t="shared" si="4"/>
        <v>68576.342305037964</v>
      </c>
      <c r="F24">
        <f t="shared" si="4"/>
        <v>73814.363143631432</v>
      </c>
      <c r="G24">
        <f t="shared" si="4"/>
        <v>66164.399895178198</v>
      </c>
      <c r="H24">
        <f t="shared" si="4"/>
        <v>65958.902062262874</v>
      </c>
      <c r="I24">
        <f t="shared" si="4"/>
        <v>73258.291685597462</v>
      </c>
      <c r="J24">
        <f t="shared" si="4"/>
        <v>67262.197474251196</v>
      </c>
      <c r="K24">
        <f t="shared" si="4"/>
        <v>78070.703291237602</v>
      </c>
      <c r="L24">
        <f t="shared" si="4"/>
        <v>73968.434343434346</v>
      </c>
      <c r="M24">
        <f t="shared" si="4"/>
        <v>82913.11057434247</v>
      </c>
    </row>
    <row r="26" spans="1:13">
      <c r="A26" t="s">
        <v>31</v>
      </c>
    </row>
    <row r="27" spans="1:13">
      <c r="B27" t="s">
        <v>3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</row>
    <row r="28" spans="1:13">
      <c r="A28" t="s">
        <v>0</v>
      </c>
      <c r="B28">
        <f>(B21-60879.7986)*100/(214393.48-60879.7986)</f>
        <v>-8.4155458773816569</v>
      </c>
      <c r="C28">
        <f t="shared" ref="C28:M28" si="5">(C21-60879.7986)*100/(214393.48-60879.7986)</f>
        <v>93.460751381392782</v>
      </c>
      <c r="D28">
        <f t="shared" si="5"/>
        <v>8.7222612338109879</v>
      </c>
      <c r="E28">
        <f t="shared" si="5"/>
        <v>6.7434285749406966</v>
      </c>
      <c r="F28">
        <f t="shared" si="5"/>
        <v>10.548487915883772</v>
      </c>
      <c r="G28">
        <f t="shared" si="5"/>
        <v>5.3764163936813301</v>
      </c>
      <c r="H28">
        <f t="shared" si="5"/>
        <v>4.5581568487199018</v>
      </c>
      <c r="I28">
        <f t="shared" si="5"/>
        <v>21.57475548625596</v>
      </c>
      <c r="J28">
        <f t="shared" si="5"/>
        <v>8.3042164453911553</v>
      </c>
      <c r="K28">
        <f t="shared" si="5"/>
        <v>18.929883103008287</v>
      </c>
      <c r="L28">
        <f t="shared" si="5"/>
        <v>10.632421457922389</v>
      </c>
      <c r="M28">
        <f t="shared" si="5"/>
        <v>14.056424506625987</v>
      </c>
    </row>
    <row r="29" spans="1:13">
      <c r="A29" t="s">
        <v>1</v>
      </c>
      <c r="B29">
        <f t="shared" ref="B29:M31" si="6">(B22-60879.7986)*100/(214393.48-60879.7986)</f>
        <v>0.38321438259963064</v>
      </c>
      <c r="C29">
        <f t="shared" si="6"/>
        <v>75.891073069793663</v>
      </c>
      <c r="D29">
        <f t="shared" si="6"/>
        <v>7.1955328184357672</v>
      </c>
      <c r="E29">
        <f t="shared" si="6"/>
        <v>4.5450960419367989</v>
      </c>
      <c r="F29">
        <f t="shared" si="6"/>
        <v>6.3028629548294841</v>
      </c>
      <c r="G29">
        <f t="shared" si="6"/>
        <v>0.47864446128339744</v>
      </c>
      <c r="H29">
        <f t="shared" si="6"/>
        <v>-0.40861071257896614</v>
      </c>
      <c r="I29">
        <f t="shared" si="6"/>
        <v>0.50951369536104529</v>
      </c>
      <c r="J29">
        <f t="shared" si="6"/>
        <v>3.2919116310979999</v>
      </c>
      <c r="K29">
        <f t="shared" si="6"/>
        <v>4.7986460518783476</v>
      </c>
      <c r="L29">
        <f t="shared" si="6"/>
        <v>9.5599016463659385</v>
      </c>
      <c r="M29">
        <f t="shared" si="6"/>
        <v>16.043821263776465</v>
      </c>
    </row>
    <row r="30" spans="1:13">
      <c r="A30" t="s">
        <v>2</v>
      </c>
      <c r="B30">
        <f t="shared" si="6"/>
        <v>8.0323314530254599</v>
      </c>
      <c r="C30">
        <f t="shared" si="6"/>
        <v>130.64817579888984</v>
      </c>
      <c r="D30">
        <f t="shared" si="6"/>
        <v>1.4121350148398246</v>
      </c>
      <c r="E30">
        <f t="shared" si="6"/>
        <v>3.7522397661684881</v>
      </c>
      <c r="G30">
        <f t="shared" si="6"/>
        <v>4.4722296776786958</v>
      </c>
      <c r="H30">
        <f t="shared" si="6"/>
        <v>5.7761557608032357</v>
      </c>
      <c r="I30">
        <f t="shared" si="6"/>
        <v>2.1060693720074206</v>
      </c>
      <c r="J30">
        <f t="shared" si="6"/>
        <v>0.87650397046374184</v>
      </c>
      <c r="K30">
        <f t="shared" si="6"/>
        <v>9.8663358782392017</v>
      </c>
      <c r="L30">
        <f t="shared" si="6"/>
        <v>5.3857927171872664</v>
      </c>
      <c r="M30">
        <f t="shared" si="6"/>
        <v>12.957763991473659</v>
      </c>
    </row>
    <row r="31" spans="1:13">
      <c r="A31" t="s">
        <v>30</v>
      </c>
      <c r="B31">
        <f t="shared" si="6"/>
        <v>-1.3918856082698407E-8</v>
      </c>
      <c r="C31">
        <f t="shared" si="6"/>
        <v>100.00000008335876</v>
      </c>
      <c r="D31">
        <f t="shared" si="6"/>
        <v>5.7766430223621965</v>
      </c>
      <c r="E31">
        <f t="shared" si="6"/>
        <v>5.0135881276819951</v>
      </c>
      <c r="F31">
        <f t="shared" si="6"/>
        <v>8.4256754353566237</v>
      </c>
      <c r="G31">
        <f t="shared" si="6"/>
        <v>3.4424301775478079</v>
      </c>
      <c r="H31">
        <f t="shared" si="6"/>
        <v>3.3085672989813868</v>
      </c>
      <c r="I31">
        <f t="shared" si="6"/>
        <v>8.063446184541478</v>
      </c>
      <c r="J31">
        <f t="shared" si="6"/>
        <v>4.1575440156509682</v>
      </c>
      <c r="K31">
        <f t="shared" si="6"/>
        <v>11.198288344375278</v>
      </c>
      <c r="L31">
        <f t="shared" si="6"/>
        <v>8.5260386071585312</v>
      </c>
      <c r="M31">
        <f t="shared" si="6"/>
        <v>14.352669920625374</v>
      </c>
    </row>
    <row r="32" spans="1:13">
      <c r="A32" t="s">
        <v>32</v>
      </c>
      <c r="B32">
        <f>STDEV(B28:B30)</f>
        <v>8.2306322432911774</v>
      </c>
      <c r="C32">
        <f t="shared" ref="C32:M32" si="7">STDEV(C28:C30)</f>
        <v>27.958118767378156</v>
      </c>
      <c r="D32">
        <f t="shared" si="7"/>
        <v>3.8560890192491253</v>
      </c>
      <c r="E32">
        <f t="shared" si="7"/>
        <v>1.5496503632224405</v>
      </c>
      <c r="F32">
        <f t="shared" si="7"/>
        <v>3.0021102003363658</v>
      </c>
      <c r="G32">
        <f t="shared" si="7"/>
        <v>2.6062248048275909</v>
      </c>
      <c r="H32">
        <f t="shared" si="7"/>
        <v>3.2762691609023666</v>
      </c>
      <c r="I32">
        <f t="shared" si="7"/>
        <v>11.72833563606129</v>
      </c>
      <c r="J32">
        <f t="shared" si="7"/>
        <v>3.7887620301937988</v>
      </c>
      <c r="K32">
        <f t="shared" si="7"/>
        <v>7.1591576444328577</v>
      </c>
      <c r="L32">
        <f t="shared" si="7"/>
        <v>2.7719005887037791</v>
      </c>
      <c r="M32">
        <f t="shared" si="7"/>
        <v>1.56421174428848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luc</vt:lpstr>
      <vt:lpstr>β-gal</vt:lpstr>
      <vt:lpstr>result</vt:lpstr>
      <vt:lpstr>result(補正)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2024-11-08T05:19:27Z</dcterms:created>
  <dcterms:modified xsi:type="dcterms:W3CDTF">2024-11-11T07:12:52Z</dcterms:modified>
</cp:coreProperties>
</file>